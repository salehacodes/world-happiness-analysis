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defaultThemeVersion="202300"/>
  <mc:AlternateContent xmlns:mc="http://schemas.openxmlformats.org/markup-compatibility/2006">
    <mc:Choice Requires="x15">
      <x15ac:absPath xmlns:x15ac="http://schemas.microsoft.com/office/spreadsheetml/2010/11/ac" url="C:\Users\erum1\Downloads\"/>
    </mc:Choice>
  </mc:AlternateContent>
  <xr:revisionPtr revIDLastSave="0" documentId="13_ncr:1_{A893CA97-95B1-4C97-B093-AE139B72D29A}" xr6:coauthVersionLast="47" xr6:coauthVersionMax="47" xr10:uidLastSave="{00000000-0000-0000-0000-000000000000}"/>
  <bookViews>
    <workbookView xWindow="-108" yWindow="-108" windowWidth="23256" windowHeight="12456" activeTab="2" xr2:uid="{F8E0AD21-6960-4E31-9458-3357AE4D8C68}"/>
  </bookViews>
  <sheets>
    <sheet name="Working sheet" sheetId="6" r:id="rId1"/>
    <sheet name="Pivot tables" sheetId="3" r:id="rId2"/>
    <sheet name="Dashboard" sheetId="5" r:id="rId3"/>
  </sheets>
  <definedNames>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5" l="1"/>
  <c r="W2" i="5"/>
  <c r="E2" i="5"/>
  <c r="V5" i="5"/>
  <c r="S5" i="5"/>
  <c r="P5" i="5"/>
  <c r="Q5" i="5"/>
  <c r="R5" i="5"/>
  <c r="T5" i="5"/>
  <c r="U5" i="5"/>
  <c r="N6" i="5"/>
  <c r="P6" i="5"/>
  <c r="Q6" i="5"/>
  <c r="R6" i="5"/>
  <c r="S6" i="5"/>
  <c r="T6" i="5"/>
  <c r="U6" i="5"/>
  <c r="V6" i="5"/>
  <c r="N7" i="5"/>
  <c r="P7" i="5"/>
  <c r="Q7" i="5"/>
  <c r="R7" i="5"/>
  <c r="S7" i="5"/>
  <c r="T7" i="5"/>
  <c r="U7" i="5"/>
  <c r="V7" i="5"/>
  <c r="N8" i="5"/>
  <c r="P8" i="5"/>
  <c r="Q8" i="5"/>
  <c r="R8" i="5"/>
  <c r="S8" i="5"/>
  <c r="T8" i="5"/>
  <c r="U8" i="5"/>
  <c r="V8" i="5"/>
  <c r="N9" i="5"/>
  <c r="P9" i="5"/>
  <c r="Q9" i="5"/>
  <c r="R9" i="5"/>
  <c r="S9" i="5"/>
  <c r="T9" i="5"/>
  <c r="U9" i="5"/>
  <c r="V9" i="5"/>
  <c r="N10" i="5"/>
  <c r="P10" i="5"/>
  <c r="Q10" i="5"/>
  <c r="R10" i="5"/>
  <c r="S10" i="5"/>
  <c r="T10" i="5"/>
  <c r="U10" i="5"/>
  <c r="V10" i="5"/>
  <c r="N11" i="5"/>
  <c r="P11" i="5"/>
  <c r="Q11" i="5"/>
  <c r="R11" i="5"/>
  <c r="S11" i="5"/>
  <c r="T11" i="5"/>
  <c r="U11" i="5"/>
  <c r="V11" i="5"/>
  <c r="N12" i="5"/>
  <c r="P12" i="5"/>
  <c r="Q12" i="5"/>
  <c r="R12" i="5"/>
  <c r="S12" i="5"/>
  <c r="T12" i="5"/>
  <c r="U12" i="5"/>
  <c r="V12" i="5"/>
  <c r="S30" i="6"/>
  <c r="T30" i="6"/>
  <c r="U30" i="6"/>
  <c r="V30" i="6"/>
  <c r="W30" i="6"/>
  <c r="X30" i="6"/>
  <c r="S29" i="6"/>
  <c r="T29" i="6"/>
  <c r="U29" i="6"/>
  <c r="V29" i="6"/>
  <c r="W29" i="6"/>
  <c r="X29" i="6"/>
  <c r="R30" i="6"/>
  <c r="R29" i="6"/>
  <c r="S28" i="6"/>
  <c r="T28" i="6"/>
  <c r="U28" i="6"/>
  <c r="V28" i="6"/>
  <c r="W28" i="6"/>
  <c r="X28" i="6"/>
  <c r="R28" i="6"/>
  <c r="S27" i="6"/>
  <c r="T27" i="6"/>
  <c r="U27" i="6"/>
  <c r="V27" i="6"/>
  <c r="W27" i="6"/>
  <c r="X27" i="6"/>
  <c r="R27" i="6"/>
  <c r="S26" i="6"/>
  <c r="T26" i="6"/>
  <c r="U26" i="6"/>
  <c r="V26" i="6"/>
  <c r="W26" i="6"/>
  <c r="X26" i="6"/>
  <c r="R26" i="6"/>
  <c r="R25" i="6"/>
  <c r="S25" i="6"/>
  <c r="T25" i="6"/>
  <c r="U25" i="6"/>
  <c r="V25" i="6"/>
  <c r="W25" i="6"/>
  <c r="X25" i="6"/>
  <c r="S24" i="6"/>
  <c r="T24" i="6"/>
  <c r="U24" i="6"/>
  <c r="V24" i="6"/>
  <c r="W24" i="6"/>
  <c r="X24" i="6"/>
  <c r="R24" i="6"/>
  <c r="N2" i="6"/>
  <c r="N3" i="6" s="1"/>
  <c r="N4" i="6" l="1"/>
  <c r="N5" i="6" s="1"/>
  <c r="N6" i="6" s="1"/>
  <c r="N7" i="6" s="1"/>
  <c r="N8" i="6" s="1"/>
  <c r="N9" i="6" s="1"/>
  <c r="N10" i="6" s="1"/>
  <c r="N11" i="6" s="1"/>
  <c r="N12" i="6" s="1"/>
  <c r="N13" i="6" s="1"/>
  <c r="N14" i="6" s="1"/>
  <c r="N15" i="6" s="1"/>
  <c r="N16" i="6" s="1"/>
  <c r="N17" i="6" s="1"/>
  <c r="N18" i="6" s="1"/>
  <c r="N19" i="6" s="1"/>
  <c r="N20" i="6" s="1"/>
  <c r="N21" i="6" s="1"/>
  <c r="N22" i="6" s="1"/>
  <c r="N23" i="6" s="1"/>
  <c r="N24" i="6" s="1"/>
  <c r="N25" i="6" s="1"/>
  <c r="N26" i="6" s="1"/>
  <c r="N27" i="6" s="1"/>
  <c r="N28" i="6" s="1"/>
  <c r="N29" i="6" s="1"/>
  <c r="N30" i="6" s="1"/>
  <c r="N31" i="6" s="1"/>
  <c r="N32" i="6" s="1"/>
  <c r="N33" i="6" s="1"/>
  <c r="N34" i="6" s="1"/>
  <c r="N35" i="6" s="1"/>
  <c r="N36" i="6" s="1"/>
  <c r="N37" i="6" s="1"/>
  <c r="N38" i="6" s="1"/>
  <c r="N39" i="6" s="1"/>
  <c r="N40" i="6" s="1"/>
  <c r="N41" i="6" s="1"/>
  <c r="N42" i="6" s="1"/>
  <c r="N43" i="6" s="1"/>
  <c r="N44" i="6" s="1"/>
  <c r="N45" i="6" s="1"/>
  <c r="N46" i="6" s="1"/>
  <c r="N47" i="6" s="1"/>
  <c r="N48" i="6" s="1"/>
  <c r="N49" i="6" s="1"/>
  <c r="N50" i="6" s="1"/>
  <c r="N51" i="6" s="1"/>
  <c r="N52" i="6" s="1"/>
  <c r="N53" i="6" s="1"/>
  <c r="N54" i="6" s="1"/>
  <c r="N55" i="6" s="1"/>
  <c r="N56" i="6" s="1"/>
  <c r="N57" i="6" s="1"/>
  <c r="N58" i="6" s="1"/>
  <c r="N59" i="6" s="1"/>
  <c r="N60" i="6" s="1"/>
  <c r="N61" i="6" s="1"/>
  <c r="N62" i="6" s="1"/>
  <c r="N63" i="6" s="1"/>
  <c r="N64" i="6" s="1"/>
  <c r="N65" i="6" s="1"/>
  <c r="N66" i="6" s="1"/>
  <c r="N67" i="6" s="1"/>
  <c r="N68" i="6" s="1"/>
  <c r="N69" i="6" s="1"/>
  <c r="N70" i="6" s="1"/>
  <c r="N71" i="6" s="1"/>
  <c r="N72" i="6" s="1"/>
  <c r="N73" i="6" s="1"/>
  <c r="N74" i="6" s="1"/>
  <c r="N75" i="6" s="1"/>
  <c r="N76" i="6" s="1"/>
  <c r="N77" i="6" s="1"/>
  <c r="N78" i="6" s="1"/>
  <c r="N79" i="6" s="1"/>
  <c r="N80" i="6" s="1"/>
  <c r="N81" i="6" s="1"/>
  <c r="N82" i="6" s="1"/>
  <c r="N83" i="6" s="1"/>
  <c r="N84" i="6" s="1"/>
  <c r="N85" i="6" s="1"/>
  <c r="N86" i="6" s="1"/>
  <c r="N87" i="6" s="1"/>
  <c r="N88" i="6" s="1"/>
  <c r="N89" i="6" s="1"/>
  <c r="N90" i="6" s="1"/>
  <c r="N91" i="6" s="1"/>
  <c r="N92" i="6" s="1"/>
  <c r="N93" i="6" s="1"/>
  <c r="N94" i="6" s="1"/>
  <c r="N95" i="6" s="1"/>
  <c r="N96" i="6" s="1"/>
  <c r="N97" i="6" s="1"/>
  <c r="N98" i="6" s="1"/>
  <c r="N99" i="6" s="1"/>
  <c r="N100" i="6" s="1"/>
  <c r="N101" i="6" s="1"/>
  <c r="N102" i="6" s="1"/>
  <c r="N103" i="6" s="1"/>
  <c r="N104" i="6" s="1"/>
  <c r="N105" i="6" s="1"/>
  <c r="N106" i="6" s="1"/>
  <c r="N107" i="6" s="1"/>
  <c r="N108" i="6" s="1"/>
  <c r="N109" i="6" s="1"/>
  <c r="N110" i="6" s="1"/>
  <c r="N111" i="6" s="1"/>
  <c r="N112" i="6" s="1"/>
  <c r="N113" i="6" s="1"/>
  <c r="N114" i="6" s="1"/>
  <c r="N115" i="6" s="1"/>
  <c r="N116" i="6" s="1"/>
  <c r="N117" i="6" s="1"/>
  <c r="N118" i="6" s="1"/>
  <c r="N119" i="6" s="1"/>
  <c r="N120" i="6" s="1"/>
  <c r="N121" i="6" s="1"/>
  <c r="N122" i="6" s="1"/>
  <c r="N123" i="6" s="1"/>
  <c r="N124" i="6" s="1"/>
  <c r="N125" i="6" s="1"/>
  <c r="N126" i="6" s="1"/>
  <c r="N127" i="6" s="1"/>
  <c r="N128" i="6" s="1"/>
  <c r="N129" i="6" s="1"/>
  <c r="N130" i="6" s="1"/>
  <c r="N131" i="6" s="1"/>
  <c r="N132" i="6" s="1"/>
  <c r="N133" i="6" s="1"/>
  <c r="N134" i="6" s="1"/>
  <c r="N135" i="6" s="1"/>
  <c r="N136" i="6" s="1"/>
  <c r="N137" i="6" s="1"/>
  <c r="N138" i="6" s="1"/>
  <c r="N139" i="6" s="1"/>
  <c r="N140" i="6" s="1"/>
  <c r="N141" i="6" s="1"/>
  <c r="N142" i="6" s="1"/>
  <c r="N143" i="6" s="1"/>
  <c r="N144" i="6" s="1"/>
  <c r="N145" i="6" s="1"/>
  <c r="N146" i="6" s="1"/>
  <c r="N147" i="6" s="1"/>
  <c r="N148" i="6" s="1"/>
  <c r="N149" i="6" s="1"/>
  <c r="N150" i="6" s="1"/>
  <c r="N151" i="6" s="1"/>
  <c r="N152" i="6" s="1"/>
  <c r="N153" i="6" s="1"/>
  <c r="N154" i="6" s="1"/>
  <c r="N155" i="6" s="1"/>
  <c r="N156" i="6" s="1"/>
  <c r="N157" i="6" s="1"/>
  <c r="N158" i="6" s="1"/>
</calcChain>
</file>

<file path=xl/sharedStrings.xml><?xml version="1.0" encoding="utf-8"?>
<sst xmlns="http://schemas.openxmlformats.org/spreadsheetml/2006/main" count="197" uniqueCount="177">
  <si>
    <t>Country</t>
  </si>
  <si>
    <t>Year</t>
  </si>
  <si>
    <t>GDP</t>
  </si>
  <si>
    <t>Freedom</t>
  </si>
  <si>
    <t>Generosity</t>
  </si>
  <si>
    <t>Corruption</t>
  </si>
  <si>
    <t>Afghanistan</t>
  </si>
  <si>
    <t>Albania</t>
  </si>
  <si>
    <t>Algeria</t>
  </si>
  <si>
    <t>Argentina</t>
  </si>
  <si>
    <t>Armenia</t>
  </si>
  <si>
    <t>Australia</t>
  </si>
  <si>
    <t>Austria</t>
  </si>
  <si>
    <t>Azerbaijan</t>
  </si>
  <si>
    <t>Bahrain</t>
  </si>
  <si>
    <t>Bangladesh</t>
  </si>
  <si>
    <t>Belarus</t>
  </si>
  <si>
    <t>Belgium</t>
  </si>
  <si>
    <t>Benin</t>
  </si>
  <si>
    <t>Bhutan</t>
  </si>
  <si>
    <t>Bolivia</t>
  </si>
  <si>
    <t>Bosnia and Herzegovina</t>
  </si>
  <si>
    <t>Botswana</t>
  </si>
  <si>
    <t>Brazil</t>
  </si>
  <si>
    <t>Bulgaria</t>
  </si>
  <si>
    <t>Burkina Faso</t>
  </si>
  <si>
    <t>Burundi</t>
  </si>
  <si>
    <t>Cambodia</t>
  </si>
  <si>
    <t>Cameroon</t>
  </si>
  <si>
    <t>Canada</t>
  </si>
  <si>
    <t>Central African Republic</t>
  </si>
  <si>
    <t>Chad</t>
  </si>
  <si>
    <t>Chile</t>
  </si>
  <si>
    <t>China</t>
  </si>
  <si>
    <t>Colombia</t>
  </si>
  <si>
    <t>Comoros</t>
  </si>
  <si>
    <t>Congo (Brazzaville)</t>
  </si>
  <si>
    <t>Congo (Kinshasa)</t>
  </si>
  <si>
    <t>Costa Rica</t>
  </si>
  <si>
    <t>Croatia</t>
  </si>
  <si>
    <t>Cyprus</t>
  </si>
  <si>
    <t>Czech Republic</t>
  </si>
  <si>
    <t>Denmark</t>
  </si>
  <si>
    <t>Dominican Republic</t>
  </si>
  <si>
    <t>Ecuador</t>
  </si>
  <si>
    <t>Egypt</t>
  </si>
  <si>
    <t>El Salvador</t>
  </si>
  <si>
    <t>Estonia</t>
  </si>
  <si>
    <t>Ethiopia</t>
  </si>
  <si>
    <t>Finland</t>
  </si>
  <si>
    <t>France</t>
  </si>
  <si>
    <t>Gabon</t>
  </si>
  <si>
    <t>Gambia</t>
  </si>
  <si>
    <t>Georgia</t>
  </si>
  <si>
    <t>Germany</t>
  </si>
  <si>
    <t>Ghana</t>
  </si>
  <si>
    <t>Greece</t>
  </si>
  <si>
    <t>Guatemala</t>
  </si>
  <si>
    <t>Guinea</t>
  </si>
  <si>
    <t>Haiti</t>
  </si>
  <si>
    <t>Honduras</t>
  </si>
  <si>
    <t>Hong Kong</t>
  </si>
  <si>
    <t>Hungary</t>
  </si>
  <si>
    <t>Iceland</t>
  </si>
  <si>
    <t>India</t>
  </si>
  <si>
    <t>Indonesia</t>
  </si>
  <si>
    <t>Iran</t>
  </si>
  <si>
    <t>Iraq</t>
  </si>
  <si>
    <t>Ireland</t>
  </si>
  <si>
    <t>Israel</t>
  </si>
  <si>
    <t>Italy</t>
  </si>
  <si>
    <t>Ivory Coast</t>
  </si>
  <si>
    <t>Jamaica</t>
  </si>
  <si>
    <t>Japan</t>
  </si>
  <si>
    <t>Jordan</t>
  </si>
  <si>
    <t>Kazakhstan</t>
  </si>
  <si>
    <t>Kenya</t>
  </si>
  <si>
    <t>Kosovo</t>
  </si>
  <si>
    <t>Kuwait</t>
  </si>
  <si>
    <t>Kyrgyzstan</t>
  </si>
  <si>
    <t>Laos</t>
  </si>
  <si>
    <t>Latvia</t>
  </si>
  <si>
    <t>Lebanon</t>
  </si>
  <si>
    <t>Lesotho</t>
  </si>
  <si>
    <t>Liberia</t>
  </si>
  <si>
    <t>Libya</t>
  </si>
  <si>
    <t>Lithuania</t>
  </si>
  <si>
    <t>Luxembourg</t>
  </si>
  <si>
    <t>Madagascar</t>
  </si>
  <si>
    <t>Malawi</t>
  </si>
  <si>
    <t>Malaysia</t>
  </si>
  <si>
    <t>Mali</t>
  </si>
  <si>
    <t>Malta</t>
  </si>
  <si>
    <t>Mauritania</t>
  </si>
  <si>
    <t>Mauritius</t>
  </si>
  <si>
    <t>Mexico</t>
  </si>
  <si>
    <t>Moldova</t>
  </si>
  <si>
    <t>Mongolia</t>
  </si>
  <si>
    <t>Montenegro</t>
  </si>
  <si>
    <t>Morocco</t>
  </si>
  <si>
    <t>Mozambique</t>
  </si>
  <si>
    <t>Myanmar</t>
  </si>
  <si>
    <t>Namibia</t>
  </si>
  <si>
    <t>Nepal</t>
  </si>
  <si>
    <t>Netherlands</t>
  </si>
  <si>
    <t>New Zealand</t>
  </si>
  <si>
    <t>Nicaragua</t>
  </si>
  <si>
    <t>Niger</t>
  </si>
  <si>
    <t>Nigeria</t>
  </si>
  <si>
    <t>North Macedonia</t>
  </si>
  <si>
    <t>Northern Cyprus</t>
  </si>
  <si>
    <t>Norway</t>
  </si>
  <si>
    <t>Pakistan</t>
  </si>
  <si>
    <t>Palestinian Territories</t>
  </si>
  <si>
    <t>Panama</t>
  </si>
  <si>
    <t>Paraguay</t>
  </si>
  <si>
    <t>Peru</t>
  </si>
  <si>
    <t>Philippines</t>
  </si>
  <si>
    <t>Poland</t>
  </si>
  <si>
    <t>Portugal</t>
  </si>
  <si>
    <t>Qatar</t>
  </si>
  <si>
    <t>Romania</t>
  </si>
  <si>
    <t>Russia</t>
  </si>
  <si>
    <t>Rwanda</t>
  </si>
  <si>
    <t>Saudi Arabia</t>
  </si>
  <si>
    <t>Senegal</t>
  </si>
  <si>
    <t>Serbia</t>
  </si>
  <si>
    <t>Sierra Leone</t>
  </si>
  <si>
    <t>Singapore</t>
  </si>
  <si>
    <t>Slovakia</t>
  </si>
  <si>
    <t>Slovenia</t>
  </si>
  <si>
    <t>Somalia</t>
  </si>
  <si>
    <t>South Africa</t>
  </si>
  <si>
    <t>South Korea</t>
  </si>
  <si>
    <t>South Sudan</t>
  </si>
  <si>
    <t>Spain</t>
  </si>
  <si>
    <t>Sri Lanka</t>
  </si>
  <si>
    <t>Swaziland</t>
  </si>
  <si>
    <t>Sweden</t>
  </si>
  <si>
    <t>Switzerland</t>
  </si>
  <si>
    <t>Syria</t>
  </si>
  <si>
    <t>Taiwan</t>
  </si>
  <si>
    <t>Tajikistan</t>
  </si>
  <si>
    <t>Tanzania</t>
  </si>
  <si>
    <t>Thailand</t>
  </si>
  <si>
    <t>Togo</t>
  </si>
  <si>
    <t>Trinidad &amp; Tobago</t>
  </si>
  <si>
    <t>Tunisia</t>
  </si>
  <si>
    <t>Turkey</t>
  </si>
  <si>
    <t>Turkmenistan</t>
  </si>
  <si>
    <t>Uganda</t>
  </si>
  <si>
    <t>Ukraine</t>
  </si>
  <si>
    <t>United Arab Emirates</t>
  </si>
  <si>
    <t>United Kingdom</t>
  </si>
  <si>
    <t>United States</t>
  </si>
  <si>
    <t>Uruguay</t>
  </si>
  <si>
    <t>Uzbekistan</t>
  </si>
  <si>
    <t>Venezuela</t>
  </si>
  <si>
    <t>Vietnam</t>
  </si>
  <si>
    <t>Yemen</t>
  </si>
  <si>
    <t>Zambia</t>
  </si>
  <si>
    <t>Zimbabwe</t>
  </si>
  <si>
    <t>Row Labels</t>
  </si>
  <si>
    <t>Average (2015-2019)</t>
  </si>
  <si>
    <t>Happiness score</t>
  </si>
  <si>
    <t>Global average of Happiness Score</t>
  </si>
  <si>
    <t>Highest happiness score (2019)</t>
  </si>
  <si>
    <t>Lowest happiness score (2019)</t>
  </si>
  <si>
    <t>UAE score (2019)</t>
  </si>
  <si>
    <t>Global average (2019)</t>
  </si>
  <si>
    <t>q</t>
  </si>
  <si>
    <t>C2:C157</t>
  </si>
  <si>
    <t>Social Support</t>
  </si>
  <si>
    <t>Happiness Score</t>
  </si>
  <si>
    <t>Life Expectancy</t>
  </si>
  <si>
    <t>2019 World Happiness Report Dashboard</t>
  </si>
  <si>
    <t>Correlation table based on 2019 data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</si>
</sst>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3" tint="0.89999084444715716"/>
      <name val="Aptos Narrow"/>
      <family val="2"/>
      <scheme val="minor"/>
    </font>
    <font>
      <sz val="11"/>
      <color theme="1"/>
      <name val="Wingdings 3"/>
      <family val="1"/>
      <charset val="2"/>
    </font>
    <font>
      <sz val="12"/>
      <color theme="1"/>
      <name val="Aptos Narrow"/>
      <family val="2"/>
      <scheme val="minor"/>
    </font>
    <font>
      <sz val="14"/>
      <color theme="1"/>
      <name val="Aptos Narrow"/>
      <family val="2"/>
      <scheme val="minor"/>
    </font>
    <font>
      <b/>
      <sz val="10"/>
      <color theme="1"/>
      <name val="Aptos Narrow"/>
      <family val="2"/>
      <scheme val="minor"/>
    </font>
    <font>
      <b/>
      <sz val="14"/>
      <color theme="3"/>
      <name val="Aptos Narrow"/>
      <family val="2"/>
      <scheme val="minor"/>
    </font>
    <font>
      <b/>
      <sz val="9"/>
      <color theme="1"/>
      <name val="Aptos Narrow"/>
      <family val="2"/>
      <scheme val="minor"/>
    </font>
    <font>
      <sz val="26"/>
      <color theme="3" tint="0.89999084444715716"/>
      <name val="Aptos Narrow"/>
      <family val="2"/>
      <scheme val="minor"/>
    </font>
    <font>
      <b/>
      <sz val="12"/>
      <color theme="3"/>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
      <patternFill patternType="solid">
        <fgColor theme="3" tint="9.9978637043366805E-2"/>
        <bgColor indexed="64"/>
      </patternFill>
    </fill>
    <fill>
      <patternFill patternType="solid">
        <fgColor theme="3" tint="0.89999084444715716"/>
        <bgColor indexed="64"/>
      </patternFill>
    </fill>
    <fill>
      <patternFill patternType="solid">
        <fgColor theme="3" tint="0.749992370372631"/>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theme="3" tint="0.89999084444715716"/>
      </left>
      <right/>
      <top/>
      <bottom/>
      <diagonal/>
    </border>
    <border>
      <left/>
      <right style="thin">
        <color theme="3" tint="0.89999084444715716"/>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0">
    <xf numFmtId="0" fontId="0" fillId="0" borderId="0" xfId="0"/>
    <xf numFmtId="2" fontId="0" fillId="0" borderId="0" xfId="0" applyNumberFormat="1"/>
    <xf numFmtId="0" fontId="0" fillId="0" borderId="0" xfId="0" pivotButton="1"/>
    <xf numFmtId="0" fontId="0" fillId="0" borderId="0" xfId="0" applyAlignment="1">
      <alignment horizontal="left"/>
    </xf>
    <xf numFmtId="0" fontId="19" fillId="0" borderId="0" xfId="0" applyFont="1"/>
    <xf numFmtId="2" fontId="21" fillId="0" borderId="0" xfId="0" applyNumberFormat="1" applyFont="1" applyAlignment="1">
      <alignment horizontal="center" vertical="center"/>
    </xf>
    <xf numFmtId="2" fontId="0" fillId="0" borderId="0" xfId="0" applyNumberFormat="1" applyAlignment="1">
      <alignment vertical="center" wrapText="1"/>
    </xf>
    <xf numFmtId="2" fontId="20" fillId="0" borderId="0" xfId="0" applyNumberFormat="1" applyFont="1" applyAlignment="1">
      <alignment horizontal="center" vertical="center"/>
    </xf>
    <xf numFmtId="0" fontId="24" fillId="0" borderId="10" xfId="0" applyFont="1" applyBorder="1" applyAlignment="1">
      <alignment horizontal="center" vertical="center" wrapText="1"/>
    </xf>
    <xf numFmtId="2" fontId="24" fillId="0" borderId="10" xfId="0" applyNumberFormat="1" applyFont="1" applyBorder="1" applyAlignment="1">
      <alignment horizontal="center" vertical="center" wrapText="1"/>
    </xf>
    <xf numFmtId="0" fontId="18" fillId="33" borderId="11" xfId="0" applyFont="1" applyFill="1" applyBorder="1" applyAlignment="1">
      <alignment horizontal="center" vertical="center" wrapText="1"/>
    </xf>
    <xf numFmtId="2" fontId="18" fillId="33" borderId="11" xfId="0" applyNumberFormat="1" applyFont="1" applyFill="1" applyBorder="1" applyAlignment="1">
      <alignment horizontal="center" vertical="center" wrapText="1"/>
    </xf>
    <xf numFmtId="0" fontId="18" fillId="0" borderId="0" xfId="0" applyFont="1" applyAlignment="1">
      <alignment horizontal="center" vertical="center" wrapText="1"/>
    </xf>
    <xf numFmtId="0" fontId="18" fillId="0" borderId="12" xfId="0" applyFont="1" applyBorder="1" applyAlignment="1">
      <alignment horizontal="center" vertical="center" wrapText="1"/>
    </xf>
    <xf numFmtId="0" fontId="21" fillId="0" borderId="0" xfId="0" applyFont="1"/>
    <xf numFmtId="2" fontId="18" fillId="0" borderId="0" xfId="0" applyNumberFormat="1" applyFont="1" applyAlignment="1">
      <alignment horizontal="center" vertical="center" wrapText="1"/>
    </xf>
    <xf numFmtId="0" fontId="22" fillId="0" borderId="13" xfId="0" applyFont="1" applyBorder="1" applyAlignment="1">
      <alignment horizontal="center" vertical="center"/>
    </xf>
    <xf numFmtId="0" fontId="22" fillId="0" borderId="14" xfId="0" applyFont="1" applyBorder="1" applyAlignment="1">
      <alignment horizontal="center" vertical="center"/>
    </xf>
    <xf numFmtId="0" fontId="25" fillId="34" borderId="0" xfId="0" applyFont="1" applyFill="1" applyAlignment="1">
      <alignment horizontal="center"/>
    </xf>
    <xf numFmtId="0" fontId="0" fillId="35" borderId="13" xfId="0" applyFill="1" applyBorder="1" applyAlignment="1">
      <alignment horizontal="center"/>
    </xf>
    <xf numFmtId="0" fontId="0" fillId="35" borderId="15" xfId="0" applyFill="1" applyBorder="1" applyAlignment="1">
      <alignment horizontal="center"/>
    </xf>
    <xf numFmtId="0" fontId="0" fillId="35" borderId="14" xfId="0" applyFill="1" applyBorder="1" applyAlignment="1">
      <alignment horizontal="center"/>
    </xf>
    <xf numFmtId="0" fontId="26" fillId="36" borderId="11" xfId="0" applyFont="1" applyFill="1" applyBorder="1" applyAlignment="1">
      <alignment horizontal="center" vertical="center" wrapText="1"/>
    </xf>
    <xf numFmtId="0" fontId="26" fillId="36" borderId="0" xfId="0" applyFont="1" applyFill="1" applyAlignment="1">
      <alignment horizontal="center" vertical="center" wrapText="1"/>
    </xf>
    <xf numFmtId="0" fontId="26" fillId="36" borderId="12" xfId="0" applyFont="1" applyFill="1" applyBorder="1" applyAlignment="1">
      <alignment horizontal="center" vertical="center" wrapText="1"/>
    </xf>
    <xf numFmtId="0" fontId="23" fillId="36" borderId="11" xfId="0" applyFont="1" applyFill="1" applyBorder="1" applyAlignment="1">
      <alignment horizontal="center" vertical="center" wrapText="1"/>
    </xf>
    <xf numFmtId="0" fontId="23" fillId="36" borderId="0" xfId="0" applyFont="1" applyFill="1" applyAlignment="1">
      <alignment horizontal="center" vertical="center" wrapText="1"/>
    </xf>
    <xf numFmtId="0" fontId="23" fillId="36" borderId="12" xfId="0" applyFont="1" applyFill="1" applyBorder="1" applyAlignment="1">
      <alignment horizontal="center" vertical="center" wrapText="1"/>
    </xf>
    <xf numFmtId="0" fontId="24" fillId="0" borderId="13" xfId="0" applyFont="1" applyBorder="1" applyAlignment="1">
      <alignment horizontal="center" vertical="center" wrapText="1"/>
    </xf>
    <xf numFmtId="0" fontId="24" fillId="0" borderId="14" xfId="0" applyFont="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'Working sheet'!$N$2</c:f>
              <c:strCache>
                <c:ptCount val="1"/>
                <c:pt idx="0">
                  <c:v>GDP</c:v>
                </c:pt>
              </c:strCache>
            </c:strRef>
          </c:tx>
          <c:spPr>
            <a:ln w="38100" cap="rnd">
              <a:noFill/>
              <a:round/>
            </a:ln>
            <a:effectLst/>
          </c:spPr>
          <c:marker>
            <c:symbol val="circle"/>
            <c:size val="5"/>
            <c:spPr>
              <a:solidFill>
                <a:schemeClr val="accent1"/>
              </a:solidFill>
              <a:ln w="9525">
                <a:solidFill>
                  <a:schemeClr val="accent1"/>
                </a:solidFill>
              </a:ln>
              <a:effectLst/>
            </c:spPr>
          </c:marker>
          <c:xVal>
            <c:numRef>
              <c:f>'Working sheet'!$M$3:$M$158</c:f>
              <c:numCache>
                <c:formatCode>0.00</c:formatCode>
                <c:ptCount val="156"/>
                <c:pt idx="0">
                  <c:v>3.2029999999999998</c:v>
                </c:pt>
                <c:pt idx="1">
                  <c:v>4.7190000000000003</c:v>
                </c:pt>
                <c:pt idx="2">
                  <c:v>5.2110000000000003</c:v>
                </c:pt>
                <c:pt idx="3">
                  <c:v>6.0860000000000003</c:v>
                </c:pt>
                <c:pt idx="4">
                  <c:v>4.5590000000000002</c:v>
                </c:pt>
                <c:pt idx="5">
                  <c:v>7.2279999999999998</c:v>
                </c:pt>
                <c:pt idx="6">
                  <c:v>7.2460000000000004</c:v>
                </c:pt>
                <c:pt idx="7">
                  <c:v>5.2080000000000002</c:v>
                </c:pt>
                <c:pt idx="8">
                  <c:v>6.1989999999999998</c:v>
                </c:pt>
                <c:pt idx="9">
                  <c:v>4.4560000000000004</c:v>
                </c:pt>
                <c:pt idx="10">
                  <c:v>5.3230000000000004</c:v>
                </c:pt>
                <c:pt idx="11">
                  <c:v>6.923</c:v>
                </c:pt>
                <c:pt idx="12">
                  <c:v>4.883</c:v>
                </c:pt>
                <c:pt idx="13">
                  <c:v>5.0819999999999999</c:v>
                </c:pt>
                <c:pt idx="14">
                  <c:v>5.7789999999999999</c:v>
                </c:pt>
                <c:pt idx="15">
                  <c:v>5.3860000000000001</c:v>
                </c:pt>
                <c:pt idx="16">
                  <c:v>3.488</c:v>
                </c:pt>
                <c:pt idx="17">
                  <c:v>6.3</c:v>
                </c:pt>
                <c:pt idx="18">
                  <c:v>5.0110000000000001</c:v>
                </c:pt>
                <c:pt idx="19">
                  <c:v>4.5869999999999997</c:v>
                </c:pt>
                <c:pt idx="20">
                  <c:v>3.7749999999999999</c:v>
                </c:pt>
                <c:pt idx="21">
                  <c:v>4.7</c:v>
                </c:pt>
                <c:pt idx="22">
                  <c:v>5.0439999999999996</c:v>
                </c:pt>
                <c:pt idx="23">
                  <c:v>7.2779999999999996</c:v>
                </c:pt>
                <c:pt idx="24">
                  <c:v>3.0830000000000002</c:v>
                </c:pt>
                <c:pt idx="25">
                  <c:v>4.3499999999999996</c:v>
                </c:pt>
                <c:pt idx="26">
                  <c:v>6.444</c:v>
                </c:pt>
                <c:pt idx="27">
                  <c:v>5.1909999999999998</c:v>
                </c:pt>
                <c:pt idx="28">
                  <c:v>6.125</c:v>
                </c:pt>
                <c:pt idx="29">
                  <c:v>3.9729999999999999</c:v>
                </c:pt>
                <c:pt idx="30">
                  <c:v>4.8120000000000003</c:v>
                </c:pt>
                <c:pt idx="31">
                  <c:v>4.4180000000000001</c:v>
                </c:pt>
                <c:pt idx="32">
                  <c:v>7.1669999999999998</c:v>
                </c:pt>
                <c:pt idx="33">
                  <c:v>5.4320000000000004</c:v>
                </c:pt>
                <c:pt idx="34">
                  <c:v>6.0460000000000003</c:v>
                </c:pt>
                <c:pt idx="35">
                  <c:v>6.8520000000000003</c:v>
                </c:pt>
                <c:pt idx="36">
                  <c:v>7.6</c:v>
                </c:pt>
                <c:pt idx="37">
                  <c:v>5.4249999999999998</c:v>
                </c:pt>
                <c:pt idx="38">
                  <c:v>6.0279999999999996</c:v>
                </c:pt>
                <c:pt idx="39">
                  <c:v>4.1660000000000004</c:v>
                </c:pt>
                <c:pt idx="40">
                  <c:v>6.2530000000000001</c:v>
                </c:pt>
                <c:pt idx="41">
                  <c:v>5.8929999999999998</c:v>
                </c:pt>
                <c:pt idx="42">
                  <c:v>4.2859999999999996</c:v>
                </c:pt>
                <c:pt idx="43">
                  <c:v>7.7690000000000001</c:v>
                </c:pt>
                <c:pt idx="44">
                  <c:v>6.5919999999999996</c:v>
                </c:pt>
                <c:pt idx="45">
                  <c:v>4.7990000000000004</c:v>
                </c:pt>
                <c:pt idx="46">
                  <c:v>4.516</c:v>
                </c:pt>
                <c:pt idx="47">
                  <c:v>4.5190000000000001</c:v>
                </c:pt>
                <c:pt idx="48">
                  <c:v>6.9850000000000003</c:v>
                </c:pt>
                <c:pt idx="49">
                  <c:v>4.9960000000000004</c:v>
                </c:pt>
                <c:pt idx="50">
                  <c:v>5.2869999999999999</c:v>
                </c:pt>
                <c:pt idx="51">
                  <c:v>6.4359999999999999</c:v>
                </c:pt>
                <c:pt idx="52">
                  <c:v>4.5339999999999998</c:v>
                </c:pt>
                <c:pt idx="53">
                  <c:v>3.597</c:v>
                </c:pt>
                <c:pt idx="54">
                  <c:v>5.86</c:v>
                </c:pt>
                <c:pt idx="55">
                  <c:v>5.43</c:v>
                </c:pt>
                <c:pt idx="56">
                  <c:v>5.758</c:v>
                </c:pt>
                <c:pt idx="57">
                  <c:v>7.4939999999999998</c:v>
                </c:pt>
                <c:pt idx="58">
                  <c:v>4.0149999999999997</c:v>
                </c:pt>
                <c:pt idx="59">
                  <c:v>5.1920000000000002</c:v>
                </c:pt>
                <c:pt idx="60">
                  <c:v>4.548</c:v>
                </c:pt>
                <c:pt idx="61">
                  <c:v>4.4370000000000003</c:v>
                </c:pt>
                <c:pt idx="62">
                  <c:v>7.0209999999999999</c:v>
                </c:pt>
                <c:pt idx="63">
                  <c:v>7.1390000000000002</c:v>
                </c:pt>
                <c:pt idx="64">
                  <c:v>6.2229999999999999</c:v>
                </c:pt>
                <c:pt idx="65">
                  <c:v>4.944</c:v>
                </c:pt>
                <c:pt idx="66">
                  <c:v>5.89</c:v>
                </c:pt>
                <c:pt idx="67">
                  <c:v>5.8860000000000001</c:v>
                </c:pt>
                <c:pt idx="68">
                  <c:v>4.9059999999999997</c:v>
                </c:pt>
                <c:pt idx="69">
                  <c:v>5.8090000000000002</c:v>
                </c:pt>
                <c:pt idx="70">
                  <c:v>4.5090000000000003</c:v>
                </c:pt>
                <c:pt idx="71">
                  <c:v>6.1</c:v>
                </c:pt>
                <c:pt idx="72">
                  <c:v>6.0209999999999999</c:v>
                </c:pt>
                <c:pt idx="73">
                  <c:v>5.2610000000000001</c:v>
                </c:pt>
                <c:pt idx="74">
                  <c:v>4.7960000000000003</c:v>
                </c:pt>
                <c:pt idx="75">
                  <c:v>5.94</c:v>
                </c:pt>
                <c:pt idx="76">
                  <c:v>5.1970000000000001</c:v>
                </c:pt>
                <c:pt idx="77">
                  <c:v>3.802</c:v>
                </c:pt>
                <c:pt idx="78">
                  <c:v>3.9750000000000001</c:v>
                </c:pt>
                <c:pt idx="79">
                  <c:v>5.5250000000000004</c:v>
                </c:pt>
                <c:pt idx="80">
                  <c:v>6.149</c:v>
                </c:pt>
                <c:pt idx="81">
                  <c:v>7.09</c:v>
                </c:pt>
                <c:pt idx="82">
                  <c:v>3.9329999999999998</c:v>
                </c:pt>
                <c:pt idx="83">
                  <c:v>3.41</c:v>
                </c:pt>
                <c:pt idx="84">
                  <c:v>5.3390000000000004</c:v>
                </c:pt>
                <c:pt idx="85">
                  <c:v>4.3899999999999997</c:v>
                </c:pt>
                <c:pt idx="86">
                  <c:v>6.726</c:v>
                </c:pt>
                <c:pt idx="87">
                  <c:v>4.49</c:v>
                </c:pt>
                <c:pt idx="88">
                  <c:v>5.8879999999999999</c:v>
                </c:pt>
                <c:pt idx="89">
                  <c:v>6.5949999999999998</c:v>
                </c:pt>
                <c:pt idx="90">
                  <c:v>5.5289999999999999</c:v>
                </c:pt>
                <c:pt idx="91">
                  <c:v>5.2850000000000001</c:v>
                </c:pt>
                <c:pt idx="92">
                  <c:v>5.5229999999999997</c:v>
                </c:pt>
                <c:pt idx="93">
                  <c:v>5.2080000000000002</c:v>
                </c:pt>
                <c:pt idx="94">
                  <c:v>4.4660000000000002</c:v>
                </c:pt>
                <c:pt idx="95">
                  <c:v>4.3600000000000003</c:v>
                </c:pt>
                <c:pt idx="96">
                  <c:v>4.6390000000000002</c:v>
                </c:pt>
                <c:pt idx="97">
                  <c:v>4.9130000000000003</c:v>
                </c:pt>
                <c:pt idx="98">
                  <c:v>7.4880000000000004</c:v>
                </c:pt>
                <c:pt idx="99">
                  <c:v>7.3070000000000004</c:v>
                </c:pt>
                <c:pt idx="100">
                  <c:v>6.1050000000000004</c:v>
                </c:pt>
                <c:pt idx="101">
                  <c:v>4.6280000000000001</c:v>
                </c:pt>
                <c:pt idx="102">
                  <c:v>5.2649999999999997</c:v>
                </c:pt>
                <c:pt idx="103">
                  <c:v>5.274</c:v>
                </c:pt>
                <c:pt idx="104">
                  <c:v>5.718</c:v>
                </c:pt>
                <c:pt idx="105">
                  <c:v>7.5540000000000003</c:v>
                </c:pt>
                <c:pt idx="106">
                  <c:v>5.6529999999999996</c:v>
                </c:pt>
                <c:pt idx="107">
                  <c:v>4.6959999999999997</c:v>
                </c:pt>
                <c:pt idx="108">
                  <c:v>6.3209999999999997</c:v>
                </c:pt>
                <c:pt idx="109">
                  <c:v>5.7430000000000003</c:v>
                </c:pt>
                <c:pt idx="110">
                  <c:v>5.6970000000000001</c:v>
                </c:pt>
                <c:pt idx="111">
                  <c:v>5.6310000000000002</c:v>
                </c:pt>
                <c:pt idx="112">
                  <c:v>6.1820000000000004</c:v>
                </c:pt>
                <c:pt idx="113">
                  <c:v>5.6929999999999996</c:v>
                </c:pt>
                <c:pt idx="114">
                  <c:v>6.3739999999999997</c:v>
                </c:pt>
                <c:pt idx="115">
                  <c:v>6.07</c:v>
                </c:pt>
                <c:pt idx="116">
                  <c:v>5.6479999999999997</c:v>
                </c:pt>
                <c:pt idx="117">
                  <c:v>3.3340000000000001</c:v>
                </c:pt>
                <c:pt idx="118">
                  <c:v>6.375</c:v>
                </c:pt>
                <c:pt idx="119">
                  <c:v>4.681</c:v>
                </c:pt>
                <c:pt idx="120">
                  <c:v>5.6029999999999998</c:v>
                </c:pt>
                <c:pt idx="121">
                  <c:v>4.3739999999999997</c:v>
                </c:pt>
                <c:pt idx="122">
                  <c:v>6.2619999999999996</c:v>
                </c:pt>
                <c:pt idx="123">
                  <c:v>6.1980000000000004</c:v>
                </c:pt>
                <c:pt idx="124">
                  <c:v>6.1180000000000003</c:v>
                </c:pt>
                <c:pt idx="125">
                  <c:v>4.6680000000000001</c:v>
                </c:pt>
                <c:pt idx="126">
                  <c:v>4.7220000000000004</c:v>
                </c:pt>
                <c:pt idx="127">
                  <c:v>5.8949999999999996</c:v>
                </c:pt>
                <c:pt idx="128">
                  <c:v>2.8530000000000002</c:v>
                </c:pt>
                <c:pt idx="129">
                  <c:v>6.3540000000000001</c:v>
                </c:pt>
                <c:pt idx="130">
                  <c:v>4.3659999999999997</c:v>
                </c:pt>
                <c:pt idx="131">
                  <c:v>4.2119999999999997</c:v>
                </c:pt>
                <c:pt idx="132">
                  <c:v>7.343</c:v>
                </c:pt>
                <c:pt idx="133">
                  <c:v>7.48</c:v>
                </c:pt>
                <c:pt idx="134">
                  <c:v>3.4620000000000002</c:v>
                </c:pt>
                <c:pt idx="135">
                  <c:v>6.4459999999999997</c:v>
                </c:pt>
                <c:pt idx="136">
                  <c:v>5.4669999999999996</c:v>
                </c:pt>
                <c:pt idx="137">
                  <c:v>3.2309999999999999</c:v>
                </c:pt>
                <c:pt idx="138">
                  <c:v>6.008</c:v>
                </c:pt>
                <c:pt idx="139">
                  <c:v>4.085</c:v>
                </c:pt>
                <c:pt idx="140">
                  <c:v>6.1920000000000002</c:v>
                </c:pt>
                <c:pt idx="141">
                  <c:v>4.4610000000000003</c:v>
                </c:pt>
                <c:pt idx="142">
                  <c:v>5.3730000000000002</c:v>
                </c:pt>
                <c:pt idx="143">
                  <c:v>5.2469999999999999</c:v>
                </c:pt>
                <c:pt idx="144">
                  <c:v>4.1890000000000001</c:v>
                </c:pt>
                <c:pt idx="145">
                  <c:v>4.3319999999999999</c:v>
                </c:pt>
                <c:pt idx="146">
                  <c:v>6.8250000000000002</c:v>
                </c:pt>
                <c:pt idx="147">
                  <c:v>7.0540000000000003</c:v>
                </c:pt>
                <c:pt idx="148">
                  <c:v>6.8920000000000003</c:v>
                </c:pt>
                <c:pt idx="149">
                  <c:v>6.2930000000000001</c:v>
                </c:pt>
                <c:pt idx="150">
                  <c:v>6.1740000000000004</c:v>
                </c:pt>
                <c:pt idx="151">
                  <c:v>4.7069999999999999</c:v>
                </c:pt>
                <c:pt idx="152">
                  <c:v>5.1749999999999998</c:v>
                </c:pt>
                <c:pt idx="153">
                  <c:v>3.38</c:v>
                </c:pt>
                <c:pt idx="154">
                  <c:v>4.1070000000000002</c:v>
                </c:pt>
                <c:pt idx="155">
                  <c:v>3.6629999999999998</c:v>
                </c:pt>
              </c:numCache>
            </c:numRef>
          </c:xVal>
          <c:yVal>
            <c:numRef>
              <c:f>'Working sheet'!$N$3:$N$158</c:f>
              <c:numCache>
                <c:formatCode>0.00</c:formatCode>
                <c:ptCount val="156"/>
                <c:pt idx="0">
                  <c:v>0.35</c:v>
                </c:pt>
                <c:pt idx="1">
                  <c:v>0.94699999999999995</c:v>
                </c:pt>
                <c:pt idx="2">
                  <c:v>1.002</c:v>
                </c:pt>
                <c:pt idx="3">
                  <c:v>1.0920000000000001</c:v>
                </c:pt>
                <c:pt idx="4">
                  <c:v>0.85</c:v>
                </c:pt>
                <c:pt idx="5">
                  <c:v>1.3720000000000001</c:v>
                </c:pt>
                <c:pt idx="6">
                  <c:v>1.3759999999999999</c:v>
                </c:pt>
                <c:pt idx="7">
                  <c:v>1.0429999999999999</c:v>
                </c:pt>
                <c:pt idx="8">
                  <c:v>1.3620000000000001</c:v>
                </c:pt>
                <c:pt idx="9">
                  <c:v>0.56200000000000006</c:v>
                </c:pt>
                <c:pt idx="10">
                  <c:v>1.0669999999999999</c:v>
                </c:pt>
                <c:pt idx="11">
                  <c:v>1.3560000000000001</c:v>
                </c:pt>
                <c:pt idx="12">
                  <c:v>0.39300000000000002</c:v>
                </c:pt>
                <c:pt idx="13">
                  <c:v>0.81299999999999994</c:v>
                </c:pt>
                <c:pt idx="14">
                  <c:v>0.77600000000000002</c:v>
                </c:pt>
                <c:pt idx="15">
                  <c:v>0.94499999999999995</c:v>
                </c:pt>
                <c:pt idx="16">
                  <c:v>1.0409999999999999</c:v>
                </c:pt>
                <c:pt idx="17">
                  <c:v>1.004</c:v>
                </c:pt>
                <c:pt idx="18">
                  <c:v>1.0920000000000001</c:v>
                </c:pt>
                <c:pt idx="19">
                  <c:v>0.33100000000000002</c:v>
                </c:pt>
                <c:pt idx="20">
                  <c:v>4.5999999999999999E-2</c:v>
                </c:pt>
                <c:pt idx="21">
                  <c:v>0.57399999999999995</c:v>
                </c:pt>
                <c:pt idx="22">
                  <c:v>0.54900000000000004</c:v>
                </c:pt>
                <c:pt idx="23">
                  <c:v>1.365</c:v>
                </c:pt>
                <c:pt idx="24">
                  <c:v>2.5999999999999999E-2</c:v>
                </c:pt>
                <c:pt idx="25">
                  <c:v>0.35</c:v>
                </c:pt>
                <c:pt idx="26">
                  <c:v>1.159</c:v>
                </c:pt>
                <c:pt idx="27">
                  <c:v>1.0289999999999999</c:v>
                </c:pt>
                <c:pt idx="28">
                  <c:v>0.98499999999999999</c:v>
                </c:pt>
                <c:pt idx="29">
                  <c:v>0.27400000000000002</c:v>
                </c:pt>
                <c:pt idx="30">
                  <c:v>0.67300000000000004</c:v>
                </c:pt>
                <c:pt idx="31">
                  <c:v>9.4E-2</c:v>
                </c:pt>
                <c:pt idx="32">
                  <c:v>1.034</c:v>
                </c:pt>
                <c:pt idx="33">
                  <c:v>1.155</c:v>
                </c:pt>
                <c:pt idx="34">
                  <c:v>1.2629999999999999</c:v>
                </c:pt>
                <c:pt idx="35">
                  <c:v>1.2689999999999999</c:v>
                </c:pt>
                <c:pt idx="36">
                  <c:v>1.383</c:v>
                </c:pt>
                <c:pt idx="37">
                  <c:v>1.0149999999999999</c:v>
                </c:pt>
                <c:pt idx="38">
                  <c:v>0.91200000000000003</c:v>
                </c:pt>
                <c:pt idx="39">
                  <c:v>0.91300000000000003</c:v>
                </c:pt>
                <c:pt idx="40">
                  <c:v>0.79400000000000004</c:v>
                </c:pt>
                <c:pt idx="41">
                  <c:v>1.2370000000000001</c:v>
                </c:pt>
                <c:pt idx="42">
                  <c:v>0.33600000000000002</c:v>
                </c:pt>
                <c:pt idx="43">
                  <c:v>1.34</c:v>
                </c:pt>
                <c:pt idx="44">
                  <c:v>1.3240000000000001</c:v>
                </c:pt>
                <c:pt idx="45">
                  <c:v>1.0569999999999999</c:v>
                </c:pt>
                <c:pt idx="46">
                  <c:v>0.308</c:v>
                </c:pt>
                <c:pt idx="47">
                  <c:v>0.88600000000000001</c:v>
                </c:pt>
                <c:pt idx="48">
                  <c:v>1.373</c:v>
                </c:pt>
                <c:pt idx="49">
                  <c:v>0.61099999999999999</c:v>
                </c:pt>
                <c:pt idx="50">
                  <c:v>1.181</c:v>
                </c:pt>
                <c:pt idx="51">
                  <c:v>0.8</c:v>
                </c:pt>
                <c:pt idx="52">
                  <c:v>0.38</c:v>
                </c:pt>
                <c:pt idx="53">
                  <c:v>0.32300000000000001</c:v>
                </c:pt>
                <c:pt idx="54">
                  <c:v>0.64200000000000002</c:v>
                </c:pt>
                <c:pt idx="55">
                  <c:v>1.4379999999999999</c:v>
                </c:pt>
                <c:pt idx="56">
                  <c:v>1.2010000000000001</c:v>
                </c:pt>
                <c:pt idx="57">
                  <c:v>1.38</c:v>
                </c:pt>
                <c:pt idx="58">
                  <c:v>0.755</c:v>
                </c:pt>
                <c:pt idx="59">
                  <c:v>0.93100000000000005</c:v>
                </c:pt>
                <c:pt idx="60">
                  <c:v>1.1000000000000001</c:v>
                </c:pt>
                <c:pt idx="61">
                  <c:v>1.0429999999999999</c:v>
                </c:pt>
                <c:pt idx="62">
                  <c:v>1.4990000000000001</c:v>
                </c:pt>
                <c:pt idx="63">
                  <c:v>1.276</c:v>
                </c:pt>
                <c:pt idx="64">
                  <c:v>1.294</c:v>
                </c:pt>
                <c:pt idx="65">
                  <c:v>0.56899999999999995</c:v>
                </c:pt>
                <c:pt idx="66">
                  <c:v>0.83099999999999996</c:v>
                </c:pt>
                <c:pt idx="67">
                  <c:v>1.327</c:v>
                </c:pt>
                <c:pt idx="68">
                  <c:v>0.83699999999999997</c:v>
                </c:pt>
                <c:pt idx="69">
                  <c:v>1.173</c:v>
                </c:pt>
                <c:pt idx="70">
                  <c:v>0.51200000000000001</c:v>
                </c:pt>
                <c:pt idx="71">
                  <c:v>0.88200000000000001</c:v>
                </c:pt>
                <c:pt idx="72">
                  <c:v>1.5</c:v>
                </c:pt>
                <c:pt idx="73">
                  <c:v>0.55100000000000005</c:v>
                </c:pt>
                <c:pt idx="74">
                  <c:v>0.76400000000000001</c:v>
                </c:pt>
                <c:pt idx="75">
                  <c:v>1.1870000000000001</c:v>
                </c:pt>
                <c:pt idx="76">
                  <c:v>0.98699999999999999</c:v>
                </c:pt>
                <c:pt idx="77">
                  <c:v>0.48899999999999999</c:v>
                </c:pt>
                <c:pt idx="78">
                  <c:v>7.2999999999999995E-2</c:v>
                </c:pt>
                <c:pt idx="79">
                  <c:v>1.044</c:v>
                </c:pt>
                <c:pt idx="80">
                  <c:v>1.238</c:v>
                </c:pt>
                <c:pt idx="81">
                  <c:v>1.609</c:v>
                </c:pt>
                <c:pt idx="82">
                  <c:v>0.27400000000000002</c:v>
                </c:pt>
                <c:pt idx="83">
                  <c:v>0.191</c:v>
                </c:pt>
                <c:pt idx="84">
                  <c:v>1.2210000000000001</c:v>
                </c:pt>
                <c:pt idx="85">
                  <c:v>0.38500000000000001</c:v>
                </c:pt>
                <c:pt idx="86">
                  <c:v>1.3</c:v>
                </c:pt>
                <c:pt idx="87">
                  <c:v>0.56999999999999995</c:v>
                </c:pt>
                <c:pt idx="88">
                  <c:v>1.1200000000000001</c:v>
                </c:pt>
                <c:pt idx="89">
                  <c:v>1.07</c:v>
                </c:pt>
                <c:pt idx="90">
                  <c:v>0.68500000000000005</c:v>
                </c:pt>
                <c:pt idx="91">
                  <c:v>0.94799999999999995</c:v>
                </c:pt>
                <c:pt idx="92">
                  <c:v>1.0509999999999999</c:v>
                </c:pt>
                <c:pt idx="93">
                  <c:v>0.80100000000000005</c:v>
                </c:pt>
                <c:pt idx="94">
                  <c:v>0.20399999999999999</c:v>
                </c:pt>
                <c:pt idx="95">
                  <c:v>0.71</c:v>
                </c:pt>
                <c:pt idx="96">
                  <c:v>0.879</c:v>
                </c:pt>
                <c:pt idx="97">
                  <c:v>0.44600000000000001</c:v>
                </c:pt>
                <c:pt idx="98">
                  <c:v>1.3959999999999999</c:v>
                </c:pt>
                <c:pt idx="99">
                  <c:v>1.3029999999999999</c:v>
                </c:pt>
                <c:pt idx="100">
                  <c:v>0.69399999999999995</c:v>
                </c:pt>
                <c:pt idx="101">
                  <c:v>0.13800000000000001</c:v>
                </c:pt>
                <c:pt idx="102">
                  <c:v>0.69599999999999995</c:v>
                </c:pt>
                <c:pt idx="103">
                  <c:v>0.98299999999999998</c:v>
                </c:pt>
                <c:pt idx="104">
                  <c:v>1.2629999999999999</c:v>
                </c:pt>
                <c:pt idx="105">
                  <c:v>1.488</c:v>
                </c:pt>
                <c:pt idx="106">
                  <c:v>0.67700000000000005</c:v>
                </c:pt>
                <c:pt idx="107">
                  <c:v>0.65700000000000003</c:v>
                </c:pt>
                <c:pt idx="108">
                  <c:v>1.149</c:v>
                </c:pt>
                <c:pt idx="109">
                  <c:v>0.85499999999999998</c:v>
                </c:pt>
                <c:pt idx="110">
                  <c:v>0.96</c:v>
                </c:pt>
                <c:pt idx="111">
                  <c:v>0.80700000000000005</c:v>
                </c:pt>
                <c:pt idx="112">
                  <c:v>1.206</c:v>
                </c:pt>
                <c:pt idx="113">
                  <c:v>1.2210000000000001</c:v>
                </c:pt>
                <c:pt idx="114">
                  <c:v>1.6839999999999999</c:v>
                </c:pt>
                <c:pt idx="115">
                  <c:v>1.1619999999999999</c:v>
                </c:pt>
                <c:pt idx="116">
                  <c:v>1.1830000000000001</c:v>
                </c:pt>
                <c:pt idx="117">
                  <c:v>0.35899999999999999</c:v>
                </c:pt>
                <c:pt idx="118">
                  <c:v>1.403</c:v>
                </c:pt>
                <c:pt idx="119">
                  <c:v>0.45</c:v>
                </c:pt>
                <c:pt idx="120">
                  <c:v>1.004</c:v>
                </c:pt>
                <c:pt idx="121">
                  <c:v>0.26800000000000002</c:v>
                </c:pt>
                <c:pt idx="122">
                  <c:v>1.5720000000000001</c:v>
                </c:pt>
                <c:pt idx="123">
                  <c:v>1.246</c:v>
                </c:pt>
                <c:pt idx="124">
                  <c:v>1.258</c:v>
                </c:pt>
                <c:pt idx="125">
                  <c:v>0</c:v>
                </c:pt>
                <c:pt idx="126">
                  <c:v>0.96</c:v>
                </c:pt>
                <c:pt idx="127">
                  <c:v>1.3009999999999999</c:v>
                </c:pt>
                <c:pt idx="128">
                  <c:v>0.30599999999999999</c:v>
                </c:pt>
                <c:pt idx="129">
                  <c:v>1.286</c:v>
                </c:pt>
                <c:pt idx="130">
                  <c:v>0.94899999999999995</c:v>
                </c:pt>
                <c:pt idx="131">
                  <c:v>0.81100000000000005</c:v>
                </c:pt>
                <c:pt idx="132">
                  <c:v>1.387</c:v>
                </c:pt>
                <c:pt idx="133">
                  <c:v>1.452</c:v>
                </c:pt>
                <c:pt idx="134">
                  <c:v>0.61899999999999999</c:v>
                </c:pt>
                <c:pt idx="135">
                  <c:v>1.3680000000000001</c:v>
                </c:pt>
                <c:pt idx="136">
                  <c:v>0.49299999999999999</c:v>
                </c:pt>
                <c:pt idx="137">
                  <c:v>0.47599999999999998</c:v>
                </c:pt>
                <c:pt idx="138">
                  <c:v>1.05</c:v>
                </c:pt>
                <c:pt idx="139">
                  <c:v>0.27500000000000002</c:v>
                </c:pt>
                <c:pt idx="140">
                  <c:v>1.2310000000000001</c:v>
                </c:pt>
                <c:pt idx="141">
                  <c:v>0.92100000000000004</c:v>
                </c:pt>
                <c:pt idx="142">
                  <c:v>1.1830000000000001</c:v>
                </c:pt>
                <c:pt idx="143">
                  <c:v>1.052</c:v>
                </c:pt>
                <c:pt idx="144">
                  <c:v>0.33200000000000002</c:v>
                </c:pt>
                <c:pt idx="145">
                  <c:v>0.82</c:v>
                </c:pt>
                <c:pt idx="146">
                  <c:v>1.5029999999999999</c:v>
                </c:pt>
                <c:pt idx="147">
                  <c:v>1.333</c:v>
                </c:pt>
                <c:pt idx="148">
                  <c:v>1.4330000000000001</c:v>
                </c:pt>
                <c:pt idx="149">
                  <c:v>1.1240000000000001</c:v>
                </c:pt>
                <c:pt idx="150">
                  <c:v>0.745</c:v>
                </c:pt>
                <c:pt idx="151">
                  <c:v>0.96</c:v>
                </c:pt>
                <c:pt idx="152">
                  <c:v>0.74099999999999999</c:v>
                </c:pt>
                <c:pt idx="153">
                  <c:v>0.28699999999999998</c:v>
                </c:pt>
                <c:pt idx="154">
                  <c:v>0.57799999999999996</c:v>
                </c:pt>
                <c:pt idx="155">
                  <c:v>0.36599999999999999</c:v>
                </c:pt>
              </c:numCache>
            </c:numRef>
          </c:yVal>
          <c:smooth val="0"/>
          <c:extLst>
            <c:ext xmlns:c16="http://schemas.microsoft.com/office/drawing/2014/chart" uri="{C3380CC4-5D6E-409C-BE32-E72D297353CC}">
              <c16:uniqueId val="{00000000-81D3-49D6-A383-F22BF3785DDC}"/>
            </c:ext>
          </c:extLst>
        </c:ser>
        <c:dLbls>
          <c:showLegendKey val="0"/>
          <c:showVal val="0"/>
          <c:showCatName val="0"/>
          <c:showSerName val="0"/>
          <c:showPercent val="0"/>
          <c:showBubbleSize val="0"/>
        </c:dLbls>
        <c:axId val="840100624"/>
        <c:axId val="840098704"/>
      </c:scatterChart>
      <c:valAx>
        <c:axId val="8401006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Happiness</a:t>
                </a:r>
                <a:r>
                  <a:rPr lang="en-US" baseline="0"/>
                  <a:t> score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098704"/>
        <c:crosses val="autoZero"/>
        <c:crossBetween val="midCat"/>
      </c:valAx>
      <c:valAx>
        <c:axId val="8400987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1006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[happiness_clean.xlsx]Pivot tables!PivotTable1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Happiness score per year (United</a:t>
            </a:r>
            <a:r>
              <a:rPr lang="en-US" baseline="0"/>
              <a:t> Arab Emirates)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tx1">
                <a:lumMod val="65000"/>
                <a:lumOff val="3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c:f>
              <c:strCache>
                <c:ptCount val="1"/>
                <c:pt idx="0">
                  <c:v>Total</c:v>
                </c:pt>
              </c:strCache>
            </c:strRef>
          </c:tx>
          <c:spPr>
            <a:ln w="28575" cap="rnd">
              <a:solidFill>
                <a:schemeClr val="accent1"/>
              </a:solidFill>
              <a:round/>
            </a:ln>
            <a:effectLst/>
          </c:spPr>
          <c:marker>
            <c:symbol val="circle"/>
            <c:size val="5"/>
            <c:spPr>
              <a:solidFill>
                <a:schemeClr val="tx1">
                  <a:lumMod val="65000"/>
                  <a:lumOff val="35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tables'!$A$4:$A$8</c:f>
              <c:strCache>
                <c:ptCount val="4"/>
                <c:pt idx="0">
                  <c:v>2016</c:v>
                </c:pt>
                <c:pt idx="1">
                  <c:v>2017</c:v>
                </c:pt>
                <c:pt idx="2">
                  <c:v>2018</c:v>
                </c:pt>
                <c:pt idx="3">
                  <c:v>2019</c:v>
                </c:pt>
              </c:strCache>
            </c:strRef>
          </c:cat>
          <c:val>
            <c:numRef>
              <c:f>'Pivot tables'!$B$4:$B$8</c:f>
              <c:numCache>
                <c:formatCode>0.00</c:formatCode>
                <c:ptCount val="4"/>
                <c:pt idx="0">
                  <c:v>6.5730000000000004</c:v>
                </c:pt>
                <c:pt idx="1">
                  <c:v>6.6479997634887704</c:v>
                </c:pt>
                <c:pt idx="2">
                  <c:v>6.774</c:v>
                </c:pt>
                <c:pt idx="3">
                  <c:v>6.8250000000000002</c:v>
                </c:pt>
              </c:numCache>
            </c:numRef>
          </c:val>
          <c:smooth val="0"/>
          <c:extLst>
            <c:ext xmlns:c16="http://schemas.microsoft.com/office/drawing/2014/chart" uri="{C3380CC4-5D6E-409C-BE32-E72D297353CC}">
              <c16:uniqueId val="{00000000-DC71-4D98-932D-320015649346}"/>
            </c:ext>
          </c:extLst>
        </c:ser>
        <c:dLbls>
          <c:dLblPos val="t"/>
          <c:showLegendKey val="0"/>
          <c:showVal val="1"/>
          <c:showCatName val="0"/>
          <c:showSerName val="0"/>
          <c:showPercent val="0"/>
          <c:showBubbleSize val="0"/>
        </c:dLbls>
        <c:marker val="1"/>
        <c:smooth val="0"/>
        <c:axId val="143378111"/>
        <c:axId val="143371871"/>
      </c:lineChart>
      <c:catAx>
        <c:axId val="1433781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71871"/>
        <c:crosses val="autoZero"/>
        <c:auto val="1"/>
        <c:lblAlgn val="ctr"/>
        <c:lblOffset val="100"/>
        <c:noMultiLvlLbl val="0"/>
      </c:catAx>
      <c:valAx>
        <c:axId val="1433718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Happiness</a:t>
                </a:r>
                <a:r>
                  <a:rPr lang="en-US" baseline="0"/>
                  <a:t> score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78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[happiness_clean.xlsx]Pivot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Global average of Happiness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tables'!$A$18:$A$22</c:f>
              <c:strCache>
                <c:ptCount val="4"/>
                <c:pt idx="0">
                  <c:v>2016</c:v>
                </c:pt>
                <c:pt idx="1">
                  <c:v>2017</c:v>
                </c:pt>
                <c:pt idx="2">
                  <c:v>2018</c:v>
                </c:pt>
                <c:pt idx="3">
                  <c:v>2019</c:v>
                </c:pt>
              </c:strCache>
            </c:strRef>
          </c:cat>
          <c:val>
            <c:numRef>
              <c:f>'Pivot tables'!$B$18:$B$22</c:f>
              <c:numCache>
                <c:formatCode>0.00</c:formatCode>
                <c:ptCount val="4"/>
                <c:pt idx="0">
                  <c:v>5.3821847133757963</c:v>
                </c:pt>
                <c:pt idx="1">
                  <c:v>5.354019355773926</c:v>
                </c:pt>
                <c:pt idx="2">
                  <c:v>5.375916666666666</c:v>
                </c:pt>
                <c:pt idx="3">
                  <c:v>5.4070961538461546</c:v>
                </c:pt>
              </c:numCache>
            </c:numRef>
          </c:val>
          <c:smooth val="0"/>
          <c:extLst>
            <c:ext xmlns:c16="http://schemas.microsoft.com/office/drawing/2014/chart" uri="{C3380CC4-5D6E-409C-BE32-E72D297353CC}">
              <c16:uniqueId val="{00000000-8F03-4A8F-A4C9-3A894F2C38A2}"/>
            </c:ext>
          </c:extLst>
        </c:ser>
        <c:dLbls>
          <c:dLblPos val="t"/>
          <c:showLegendKey val="0"/>
          <c:showVal val="1"/>
          <c:showCatName val="0"/>
          <c:showSerName val="0"/>
          <c:showPercent val="0"/>
          <c:showBubbleSize val="0"/>
        </c:dLbls>
        <c:marker val="1"/>
        <c:smooth val="0"/>
        <c:axId val="634142159"/>
        <c:axId val="634151279"/>
      </c:lineChart>
      <c:catAx>
        <c:axId val="6341421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151279"/>
        <c:crosses val="autoZero"/>
        <c:auto val="1"/>
        <c:lblAlgn val="ctr"/>
        <c:lblOffset val="100"/>
        <c:noMultiLvlLbl val="0"/>
      </c:catAx>
      <c:valAx>
        <c:axId val="6341512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Happiness</a:t>
                </a:r>
                <a:r>
                  <a:rPr lang="en-US" baseline="0"/>
                  <a:t> score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142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[happiness_clean.xlsx]Pivot tables!PivotTable1</c:name>
    <c:fmtId val="49"/>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Happiness score per year (United</a:t>
            </a:r>
            <a:r>
              <a:rPr lang="en-US" sz="1100" baseline="0"/>
              <a:t> Arab Emirates)</a:t>
            </a:r>
            <a:endParaRPr lang="en-US"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tx1">
                <a:lumMod val="65000"/>
                <a:lumOff val="3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tx1">
                <a:lumMod val="65000"/>
                <a:lumOff val="3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tx1">
                <a:lumMod val="65000"/>
                <a:lumOff val="3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c:f>
              <c:strCache>
                <c:ptCount val="1"/>
                <c:pt idx="0">
                  <c:v>Total</c:v>
                </c:pt>
              </c:strCache>
            </c:strRef>
          </c:tx>
          <c:spPr>
            <a:ln w="28575" cap="rnd">
              <a:solidFill>
                <a:schemeClr val="accent1"/>
              </a:solidFill>
              <a:round/>
            </a:ln>
            <a:effectLst/>
          </c:spPr>
          <c:marker>
            <c:symbol val="circle"/>
            <c:size val="5"/>
            <c:spPr>
              <a:solidFill>
                <a:schemeClr val="tx1">
                  <a:lumMod val="65000"/>
                  <a:lumOff val="35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tables'!$A$4:$A$8</c:f>
              <c:strCache>
                <c:ptCount val="4"/>
                <c:pt idx="0">
                  <c:v>2016</c:v>
                </c:pt>
                <c:pt idx="1">
                  <c:v>2017</c:v>
                </c:pt>
                <c:pt idx="2">
                  <c:v>2018</c:v>
                </c:pt>
                <c:pt idx="3">
                  <c:v>2019</c:v>
                </c:pt>
              </c:strCache>
            </c:strRef>
          </c:cat>
          <c:val>
            <c:numRef>
              <c:f>'Pivot tables'!$B$4:$B$8</c:f>
              <c:numCache>
                <c:formatCode>0.00</c:formatCode>
                <c:ptCount val="4"/>
                <c:pt idx="0">
                  <c:v>6.5730000000000004</c:v>
                </c:pt>
                <c:pt idx="1">
                  <c:v>6.6479997634887704</c:v>
                </c:pt>
                <c:pt idx="2">
                  <c:v>6.774</c:v>
                </c:pt>
                <c:pt idx="3">
                  <c:v>6.8250000000000002</c:v>
                </c:pt>
              </c:numCache>
            </c:numRef>
          </c:val>
          <c:smooth val="0"/>
          <c:extLst>
            <c:ext xmlns:c16="http://schemas.microsoft.com/office/drawing/2014/chart" uri="{C3380CC4-5D6E-409C-BE32-E72D297353CC}">
              <c16:uniqueId val="{00000000-B99D-4E68-9B7F-150744C1B3D1}"/>
            </c:ext>
          </c:extLst>
        </c:ser>
        <c:dLbls>
          <c:dLblPos val="t"/>
          <c:showLegendKey val="0"/>
          <c:showVal val="1"/>
          <c:showCatName val="0"/>
          <c:showSerName val="0"/>
          <c:showPercent val="0"/>
          <c:showBubbleSize val="0"/>
        </c:dLbls>
        <c:marker val="1"/>
        <c:smooth val="0"/>
        <c:axId val="143378111"/>
        <c:axId val="143371871"/>
      </c:lineChart>
      <c:catAx>
        <c:axId val="1433781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71871"/>
        <c:crosses val="autoZero"/>
        <c:auto val="1"/>
        <c:lblAlgn val="ctr"/>
        <c:lblOffset val="100"/>
        <c:noMultiLvlLbl val="0"/>
      </c:catAx>
      <c:valAx>
        <c:axId val="1433718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Happiness</a:t>
                </a:r>
                <a:r>
                  <a:rPr lang="en-US" baseline="0"/>
                  <a:t> score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78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[happiness_clean.xlsx]Pivot tables!PivotTable2</c:name>
    <c:fmtId val="6"/>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Global average of Happiness Score</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tables'!$A$18:$A$22</c:f>
              <c:strCache>
                <c:ptCount val="4"/>
                <c:pt idx="0">
                  <c:v>2016</c:v>
                </c:pt>
                <c:pt idx="1">
                  <c:v>2017</c:v>
                </c:pt>
                <c:pt idx="2">
                  <c:v>2018</c:v>
                </c:pt>
                <c:pt idx="3">
                  <c:v>2019</c:v>
                </c:pt>
              </c:strCache>
            </c:strRef>
          </c:cat>
          <c:val>
            <c:numRef>
              <c:f>'Pivot tables'!$B$18:$B$22</c:f>
              <c:numCache>
                <c:formatCode>0.00</c:formatCode>
                <c:ptCount val="4"/>
                <c:pt idx="0">
                  <c:v>5.3821847133757963</c:v>
                </c:pt>
                <c:pt idx="1">
                  <c:v>5.354019355773926</c:v>
                </c:pt>
                <c:pt idx="2">
                  <c:v>5.375916666666666</c:v>
                </c:pt>
                <c:pt idx="3">
                  <c:v>5.4070961538461546</c:v>
                </c:pt>
              </c:numCache>
            </c:numRef>
          </c:val>
          <c:smooth val="0"/>
          <c:extLst>
            <c:ext xmlns:c16="http://schemas.microsoft.com/office/drawing/2014/chart" uri="{C3380CC4-5D6E-409C-BE32-E72D297353CC}">
              <c16:uniqueId val="{00000000-2A16-418E-B21D-781349F85DBA}"/>
            </c:ext>
          </c:extLst>
        </c:ser>
        <c:dLbls>
          <c:dLblPos val="t"/>
          <c:showLegendKey val="0"/>
          <c:showVal val="1"/>
          <c:showCatName val="0"/>
          <c:showSerName val="0"/>
          <c:showPercent val="0"/>
          <c:showBubbleSize val="0"/>
        </c:dLbls>
        <c:marker val="1"/>
        <c:smooth val="0"/>
        <c:axId val="634142159"/>
        <c:axId val="634151279"/>
      </c:lineChart>
      <c:catAx>
        <c:axId val="6341421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151279"/>
        <c:crosses val="autoZero"/>
        <c:auto val="1"/>
        <c:lblAlgn val="ctr"/>
        <c:lblOffset val="100"/>
        <c:noMultiLvlLbl val="0"/>
      </c:catAx>
      <c:valAx>
        <c:axId val="6341512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Happiness</a:t>
                </a:r>
                <a:r>
                  <a:rPr lang="en-US" baseline="0"/>
                  <a:t> score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142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Factor-Happiness correlation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'Working sheet'!$N$2</c:f>
              <c:strCache>
                <c:ptCount val="1"/>
                <c:pt idx="0">
                  <c:v>GDP</c:v>
                </c:pt>
              </c:strCache>
            </c:strRef>
          </c:tx>
          <c:spPr>
            <a:ln w="38100" cap="rnd">
              <a:noFill/>
              <a:round/>
            </a:ln>
            <a:effectLst/>
          </c:spPr>
          <c:marker>
            <c:symbol val="circle"/>
            <c:size val="5"/>
            <c:spPr>
              <a:solidFill>
                <a:schemeClr val="accent1"/>
              </a:solidFill>
              <a:ln w="9525">
                <a:solidFill>
                  <a:schemeClr val="accent1"/>
                </a:solidFill>
              </a:ln>
              <a:effectLst/>
            </c:spPr>
          </c:marker>
          <c:xVal>
            <c:numRef>
              <c:f>'Working sheet'!$M$3:$M$158</c:f>
              <c:numCache>
                <c:formatCode>0.00</c:formatCode>
                <c:ptCount val="156"/>
                <c:pt idx="0">
                  <c:v>3.2029999999999998</c:v>
                </c:pt>
                <c:pt idx="1">
                  <c:v>4.7190000000000003</c:v>
                </c:pt>
                <c:pt idx="2">
                  <c:v>5.2110000000000003</c:v>
                </c:pt>
                <c:pt idx="3">
                  <c:v>6.0860000000000003</c:v>
                </c:pt>
                <c:pt idx="4">
                  <c:v>4.5590000000000002</c:v>
                </c:pt>
                <c:pt idx="5">
                  <c:v>7.2279999999999998</c:v>
                </c:pt>
                <c:pt idx="6">
                  <c:v>7.2460000000000004</c:v>
                </c:pt>
                <c:pt idx="7">
                  <c:v>5.2080000000000002</c:v>
                </c:pt>
                <c:pt idx="8">
                  <c:v>6.1989999999999998</c:v>
                </c:pt>
                <c:pt idx="9">
                  <c:v>4.4560000000000004</c:v>
                </c:pt>
                <c:pt idx="10">
                  <c:v>5.3230000000000004</c:v>
                </c:pt>
                <c:pt idx="11">
                  <c:v>6.923</c:v>
                </c:pt>
                <c:pt idx="12">
                  <c:v>4.883</c:v>
                </c:pt>
                <c:pt idx="13">
                  <c:v>5.0819999999999999</c:v>
                </c:pt>
                <c:pt idx="14">
                  <c:v>5.7789999999999999</c:v>
                </c:pt>
                <c:pt idx="15">
                  <c:v>5.3860000000000001</c:v>
                </c:pt>
                <c:pt idx="16">
                  <c:v>3.488</c:v>
                </c:pt>
                <c:pt idx="17">
                  <c:v>6.3</c:v>
                </c:pt>
                <c:pt idx="18">
                  <c:v>5.0110000000000001</c:v>
                </c:pt>
                <c:pt idx="19">
                  <c:v>4.5869999999999997</c:v>
                </c:pt>
                <c:pt idx="20">
                  <c:v>3.7749999999999999</c:v>
                </c:pt>
                <c:pt idx="21">
                  <c:v>4.7</c:v>
                </c:pt>
                <c:pt idx="22">
                  <c:v>5.0439999999999996</c:v>
                </c:pt>
                <c:pt idx="23">
                  <c:v>7.2779999999999996</c:v>
                </c:pt>
                <c:pt idx="24">
                  <c:v>3.0830000000000002</c:v>
                </c:pt>
                <c:pt idx="25">
                  <c:v>4.3499999999999996</c:v>
                </c:pt>
                <c:pt idx="26">
                  <c:v>6.444</c:v>
                </c:pt>
                <c:pt idx="27">
                  <c:v>5.1909999999999998</c:v>
                </c:pt>
                <c:pt idx="28">
                  <c:v>6.125</c:v>
                </c:pt>
                <c:pt idx="29">
                  <c:v>3.9729999999999999</c:v>
                </c:pt>
                <c:pt idx="30">
                  <c:v>4.8120000000000003</c:v>
                </c:pt>
                <c:pt idx="31">
                  <c:v>4.4180000000000001</c:v>
                </c:pt>
                <c:pt idx="32">
                  <c:v>7.1669999999999998</c:v>
                </c:pt>
                <c:pt idx="33">
                  <c:v>5.4320000000000004</c:v>
                </c:pt>
                <c:pt idx="34">
                  <c:v>6.0460000000000003</c:v>
                </c:pt>
                <c:pt idx="35">
                  <c:v>6.8520000000000003</c:v>
                </c:pt>
                <c:pt idx="36">
                  <c:v>7.6</c:v>
                </c:pt>
                <c:pt idx="37">
                  <c:v>5.4249999999999998</c:v>
                </c:pt>
                <c:pt idx="38">
                  <c:v>6.0279999999999996</c:v>
                </c:pt>
                <c:pt idx="39">
                  <c:v>4.1660000000000004</c:v>
                </c:pt>
                <c:pt idx="40">
                  <c:v>6.2530000000000001</c:v>
                </c:pt>
                <c:pt idx="41">
                  <c:v>5.8929999999999998</c:v>
                </c:pt>
                <c:pt idx="42">
                  <c:v>4.2859999999999996</c:v>
                </c:pt>
                <c:pt idx="43">
                  <c:v>7.7690000000000001</c:v>
                </c:pt>
                <c:pt idx="44">
                  <c:v>6.5919999999999996</c:v>
                </c:pt>
                <c:pt idx="45">
                  <c:v>4.7990000000000004</c:v>
                </c:pt>
                <c:pt idx="46">
                  <c:v>4.516</c:v>
                </c:pt>
                <c:pt idx="47">
                  <c:v>4.5190000000000001</c:v>
                </c:pt>
                <c:pt idx="48">
                  <c:v>6.9850000000000003</c:v>
                </c:pt>
                <c:pt idx="49">
                  <c:v>4.9960000000000004</c:v>
                </c:pt>
                <c:pt idx="50">
                  <c:v>5.2869999999999999</c:v>
                </c:pt>
                <c:pt idx="51">
                  <c:v>6.4359999999999999</c:v>
                </c:pt>
                <c:pt idx="52">
                  <c:v>4.5339999999999998</c:v>
                </c:pt>
                <c:pt idx="53">
                  <c:v>3.597</c:v>
                </c:pt>
                <c:pt idx="54">
                  <c:v>5.86</c:v>
                </c:pt>
                <c:pt idx="55">
                  <c:v>5.43</c:v>
                </c:pt>
                <c:pt idx="56">
                  <c:v>5.758</c:v>
                </c:pt>
                <c:pt idx="57">
                  <c:v>7.4939999999999998</c:v>
                </c:pt>
                <c:pt idx="58">
                  <c:v>4.0149999999999997</c:v>
                </c:pt>
                <c:pt idx="59">
                  <c:v>5.1920000000000002</c:v>
                </c:pt>
                <c:pt idx="60">
                  <c:v>4.548</c:v>
                </c:pt>
                <c:pt idx="61">
                  <c:v>4.4370000000000003</c:v>
                </c:pt>
                <c:pt idx="62">
                  <c:v>7.0209999999999999</c:v>
                </c:pt>
                <c:pt idx="63">
                  <c:v>7.1390000000000002</c:v>
                </c:pt>
                <c:pt idx="64">
                  <c:v>6.2229999999999999</c:v>
                </c:pt>
                <c:pt idx="65">
                  <c:v>4.944</c:v>
                </c:pt>
                <c:pt idx="66">
                  <c:v>5.89</c:v>
                </c:pt>
                <c:pt idx="67">
                  <c:v>5.8860000000000001</c:v>
                </c:pt>
                <c:pt idx="68">
                  <c:v>4.9059999999999997</c:v>
                </c:pt>
                <c:pt idx="69">
                  <c:v>5.8090000000000002</c:v>
                </c:pt>
                <c:pt idx="70">
                  <c:v>4.5090000000000003</c:v>
                </c:pt>
                <c:pt idx="71">
                  <c:v>6.1</c:v>
                </c:pt>
                <c:pt idx="72">
                  <c:v>6.0209999999999999</c:v>
                </c:pt>
                <c:pt idx="73">
                  <c:v>5.2610000000000001</c:v>
                </c:pt>
                <c:pt idx="74">
                  <c:v>4.7960000000000003</c:v>
                </c:pt>
                <c:pt idx="75">
                  <c:v>5.94</c:v>
                </c:pt>
                <c:pt idx="76">
                  <c:v>5.1970000000000001</c:v>
                </c:pt>
                <c:pt idx="77">
                  <c:v>3.802</c:v>
                </c:pt>
                <c:pt idx="78">
                  <c:v>3.9750000000000001</c:v>
                </c:pt>
                <c:pt idx="79">
                  <c:v>5.5250000000000004</c:v>
                </c:pt>
                <c:pt idx="80">
                  <c:v>6.149</c:v>
                </c:pt>
                <c:pt idx="81">
                  <c:v>7.09</c:v>
                </c:pt>
                <c:pt idx="82">
                  <c:v>3.9329999999999998</c:v>
                </c:pt>
                <c:pt idx="83">
                  <c:v>3.41</c:v>
                </c:pt>
                <c:pt idx="84">
                  <c:v>5.3390000000000004</c:v>
                </c:pt>
                <c:pt idx="85">
                  <c:v>4.3899999999999997</c:v>
                </c:pt>
                <c:pt idx="86">
                  <c:v>6.726</c:v>
                </c:pt>
                <c:pt idx="87">
                  <c:v>4.49</c:v>
                </c:pt>
                <c:pt idx="88">
                  <c:v>5.8879999999999999</c:v>
                </c:pt>
                <c:pt idx="89">
                  <c:v>6.5949999999999998</c:v>
                </c:pt>
                <c:pt idx="90">
                  <c:v>5.5289999999999999</c:v>
                </c:pt>
                <c:pt idx="91">
                  <c:v>5.2850000000000001</c:v>
                </c:pt>
                <c:pt idx="92">
                  <c:v>5.5229999999999997</c:v>
                </c:pt>
                <c:pt idx="93">
                  <c:v>5.2080000000000002</c:v>
                </c:pt>
                <c:pt idx="94">
                  <c:v>4.4660000000000002</c:v>
                </c:pt>
                <c:pt idx="95">
                  <c:v>4.3600000000000003</c:v>
                </c:pt>
                <c:pt idx="96">
                  <c:v>4.6390000000000002</c:v>
                </c:pt>
                <c:pt idx="97">
                  <c:v>4.9130000000000003</c:v>
                </c:pt>
                <c:pt idx="98">
                  <c:v>7.4880000000000004</c:v>
                </c:pt>
                <c:pt idx="99">
                  <c:v>7.3070000000000004</c:v>
                </c:pt>
                <c:pt idx="100">
                  <c:v>6.1050000000000004</c:v>
                </c:pt>
                <c:pt idx="101">
                  <c:v>4.6280000000000001</c:v>
                </c:pt>
                <c:pt idx="102">
                  <c:v>5.2649999999999997</c:v>
                </c:pt>
                <c:pt idx="103">
                  <c:v>5.274</c:v>
                </c:pt>
                <c:pt idx="104">
                  <c:v>5.718</c:v>
                </c:pt>
                <c:pt idx="105">
                  <c:v>7.5540000000000003</c:v>
                </c:pt>
                <c:pt idx="106">
                  <c:v>5.6529999999999996</c:v>
                </c:pt>
                <c:pt idx="107">
                  <c:v>4.6959999999999997</c:v>
                </c:pt>
                <c:pt idx="108">
                  <c:v>6.3209999999999997</c:v>
                </c:pt>
                <c:pt idx="109">
                  <c:v>5.7430000000000003</c:v>
                </c:pt>
                <c:pt idx="110">
                  <c:v>5.6970000000000001</c:v>
                </c:pt>
                <c:pt idx="111">
                  <c:v>5.6310000000000002</c:v>
                </c:pt>
                <c:pt idx="112">
                  <c:v>6.1820000000000004</c:v>
                </c:pt>
                <c:pt idx="113">
                  <c:v>5.6929999999999996</c:v>
                </c:pt>
                <c:pt idx="114">
                  <c:v>6.3739999999999997</c:v>
                </c:pt>
                <c:pt idx="115">
                  <c:v>6.07</c:v>
                </c:pt>
                <c:pt idx="116">
                  <c:v>5.6479999999999997</c:v>
                </c:pt>
                <c:pt idx="117">
                  <c:v>3.3340000000000001</c:v>
                </c:pt>
                <c:pt idx="118">
                  <c:v>6.375</c:v>
                </c:pt>
                <c:pt idx="119">
                  <c:v>4.681</c:v>
                </c:pt>
                <c:pt idx="120">
                  <c:v>5.6029999999999998</c:v>
                </c:pt>
                <c:pt idx="121">
                  <c:v>4.3739999999999997</c:v>
                </c:pt>
                <c:pt idx="122">
                  <c:v>6.2619999999999996</c:v>
                </c:pt>
                <c:pt idx="123">
                  <c:v>6.1980000000000004</c:v>
                </c:pt>
                <c:pt idx="124">
                  <c:v>6.1180000000000003</c:v>
                </c:pt>
                <c:pt idx="125">
                  <c:v>4.6680000000000001</c:v>
                </c:pt>
                <c:pt idx="126">
                  <c:v>4.7220000000000004</c:v>
                </c:pt>
                <c:pt idx="127">
                  <c:v>5.8949999999999996</c:v>
                </c:pt>
                <c:pt idx="128">
                  <c:v>2.8530000000000002</c:v>
                </c:pt>
                <c:pt idx="129">
                  <c:v>6.3540000000000001</c:v>
                </c:pt>
                <c:pt idx="130">
                  <c:v>4.3659999999999997</c:v>
                </c:pt>
                <c:pt idx="131">
                  <c:v>4.2119999999999997</c:v>
                </c:pt>
                <c:pt idx="132">
                  <c:v>7.343</c:v>
                </c:pt>
                <c:pt idx="133">
                  <c:v>7.48</c:v>
                </c:pt>
                <c:pt idx="134">
                  <c:v>3.4620000000000002</c:v>
                </c:pt>
                <c:pt idx="135">
                  <c:v>6.4459999999999997</c:v>
                </c:pt>
                <c:pt idx="136">
                  <c:v>5.4669999999999996</c:v>
                </c:pt>
                <c:pt idx="137">
                  <c:v>3.2309999999999999</c:v>
                </c:pt>
                <c:pt idx="138">
                  <c:v>6.008</c:v>
                </c:pt>
                <c:pt idx="139">
                  <c:v>4.085</c:v>
                </c:pt>
                <c:pt idx="140">
                  <c:v>6.1920000000000002</c:v>
                </c:pt>
                <c:pt idx="141">
                  <c:v>4.4610000000000003</c:v>
                </c:pt>
                <c:pt idx="142">
                  <c:v>5.3730000000000002</c:v>
                </c:pt>
                <c:pt idx="143">
                  <c:v>5.2469999999999999</c:v>
                </c:pt>
                <c:pt idx="144">
                  <c:v>4.1890000000000001</c:v>
                </c:pt>
                <c:pt idx="145">
                  <c:v>4.3319999999999999</c:v>
                </c:pt>
                <c:pt idx="146">
                  <c:v>6.8250000000000002</c:v>
                </c:pt>
                <c:pt idx="147">
                  <c:v>7.0540000000000003</c:v>
                </c:pt>
                <c:pt idx="148">
                  <c:v>6.8920000000000003</c:v>
                </c:pt>
                <c:pt idx="149">
                  <c:v>6.2930000000000001</c:v>
                </c:pt>
                <c:pt idx="150">
                  <c:v>6.1740000000000004</c:v>
                </c:pt>
                <c:pt idx="151">
                  <c:v>4.7069999999999999</c:v>
                </c:pt>
                <c:pt idx="152">
                  <c:v>5.1749999999999998</c:v>
                </c:pt>
                <c:pt idx="153">
                  <c:v>3.38</c:v>
                </c:pt>
                <c:pt idx="154">
                  <c:v>4.1070000000000002</c:v>
                </c:pt>
                <c:pt idx="155">
                  <c:v>3.6629999999999998</c:v>
                </c:pt>
              </c:numCache>
            </c:numRef>
          </c:xVal>
          <c:yVal>
            <c:numRef>
              <c:f>'Working sheet'!$N$3:$N$158</c:f>
              <c:numCache>
                <c:formatCode>0.00</c:formatCode>
                <c:ptCount val="156"/>
                <c:pt idx="0">
                  <c:v>0.35</c:v>
                </c:pt>
                <c:pt idx="1">
                  <c:v>0.94699999999999995</c:v>
                </c:pt>
                <c:pt idx="2">
                  <c:v>1.002</c:v>
                </c:pt>
                <c:pt idx="3">
                  <c:v>1.0920000000000001</c:v>
                </c:pt>
                <c:pt idx="4">
                  <c:v>0.85</c:v>
                </c:pt>
                <c:pt idx="5">
                  <c:v>1.3720000000000001</c:v>
                </c:pt>
                <c:pt idx="6">
                  <c:v>1.3759999999999999</c:v>
                </c:pt>
                <c:pt idx="7">
                  <c:v>1.0429999999999999</c:v>
                </c:pt>
                <c:pt idx="8">
                  <c:v>1.3620000000000001</c:v>
                </c:pt>
                <c:pt idx="9">
                  <c:v>0.56200000000000006</c:v>
                </c:pt>
                <c:pt idx="10">
                  <c:v>1.0669999999999999</c:v>
                </c:pt>
                <c:pt idx="11">
                  <c:v>1.3560000000000001</c:v>
                </c:pt>
                <c:pt idx="12">
                  <c:v>0.39300000000000002</c:v>
                </c:pt>
                <c:pt idx="13">
                  <c:v>0.81299999999999994</c:v>
                </c:pt>
                <c:pt idx="14">
                  <c:v>0.77600000000000002</c:v>
                </c:pt>
                <c:pt idx="15">
                  <c:v>0.94499999999999995</c:v>
                </c:pt>
                <c:pt idx="16">
                  <c:v>1.0409999999999999</c:v>
                </c:pt>
                <c:pt idx="17">
                  <c:v>1.004</c:v>
                </c:pt>
                <c:pt idx="18">
                  <c:v>1.0920000000000001</c:v>
                </c:pt>
                <c:pt idx="19">
                  <c:v>0.33100000000000002</c:v>
                </c:pt>
                <c:pt idx="20">
                  <c:v>4.5999999999999999E-2</c:v>
                </c:pt>
                <c:pt idx="21">
                  <c:v>0.57399999999999995</c:v>
                </c:pt>
                <c:pt idx="22">
                  <c:v>0.54900000000000004</c:v>
                </c:pt>
                <c:pt idx="23">
                  <c:v>1.365</c:v>
                </c:pt>
                <c:pt idx="24">
                  <c:v>2.5999999999999999E-2</c:v>
                </c:pt>
                <c:pt idx="25">
                  <c:v>0.35</c:v>
                </c:pt>
                <c:pt idx="26">
                  <c:v>1.159</c:v>
                </c:pt>
                <c:pt idx="27">
                  <c:v>1.0289999999999999</c:v>
                </c:pt>
                <c:pt idx="28">
                  <c:v>0.98499999999999999</c:v>
                </c:pt>
                <c:pt idx="29">
                  <c:v>0.27400000000000002</c:v>
                </c:pt>
                <c:pt idx="30">
                  <c:v>0.67300000000000004</c:v>
                </c:pt>
                <c:pt idx="31">
                  <c:v>9.4E-2</c:v>
                </c:pt>
                <c:pt idx="32">
                  <c:v>1.034</c:v>
                </c:pt>
                <c:pt idx="33">
                  <c:v>1.155</c:v>
                </c:pt>
                <c:pt idx="34">
                  <c:v>1.2629999999999999</c:v>
                </c:pt>
                <c:pt idx="35">
                  <c:v>1.2689999999999999</c:v>
                </c:pt>
                <c:pt idx="36">
                  <c:v>1.383</c:v>
                </c:pt>
                <c:pt idx="37">
                  <c:v>1.0149999999999999</c:v>
                </c:pt>
                <c:pt idx="38">
                  <c:v>0.91200000000000003</c:v>
                </c:pt>
                <c:pt idx="39">
                  <c:v>0.91300000000000003</c:v>
                </c:pt>
                <c:pt idx="40">
                  <c:v>0.79400000000000004</c:v>
                </c:pt>
                <c:pt idx="41">
                  <c:v>1.2370000000000001</c:v>
                </c:pt>
                <c:pt idx="42">
                  <c:v>0.33600000000000002</c:v>
                </c:pt>
                <c:pt idx="43">
                  <c:v>1.34</c:v>
                </c:pt>
                <c:pt idx="44">
                  <c:v>1.3240000000000001</c:v>
                </c:pt>
                <c:pt idx="45">
                  <c:v>1.0569999999999999</c:v>
                </c:pt>
                <c:pt idx="46">
                  <c:v>0.308</c:v>
                </c:pt>
                <c:pt idx="47">
                  <c:v>0.88600000000000001</c:v>
                </c:pt>
                <c:pt idx="48">
                  <c:v>1.373</c:v>
                </c:pt>
                <c:pt idx="49">
                  <c:v>0.61099999999999999</c:v>
                </c:pt>
                <c:pt idx="50">
                  <c:v>1.181</c:v>
                </c:pt>
                <c:pt idx="51">
                  <c:v>0.8</c:v>
                </c:pt>
                <c:pt idx="52">
                  <c:v>0.38</c:v>
                </c:pt>
                <c:pt idx="53">
                  <c:v>0.32300000000000001</c:v>
                </c:pt>
                <c:pt idx="54">
                  <c:v>0.64200000000000002</c:v>
                </c:pt>
                <c:pt idx="55">
                  <c:v>1.4379999999999999</c:v>
                </c:pt>
                <c:pt idx="56">
                  <c:v>1.2010000000000001</c:v>
                </c:pt>
                <c:pt idx="57">
                  <c:v>1.38</c:v>
                </c:pt>
                <c:pt idx="58">
                  <c:v>0.755</c:v>
                </c:pt>
                <c:pt idx="59">
                  <c:v>0.93100000000000005</c:v>
                </c:pt>
                <c:pt idx="60">
                  <c:v>1.1000000000000001</c:v>
                </c:pt>
                <c:pt idx="61">
                  <c:v>1.0429999999999999</c:v>
                </c:pt>
                <c:pt idx="62">
                  <c:v>1.4990000000000001</c:v>
                </c:pt>
                <c:pt idx="63">
                  <c:v>1.276</c:v>
                </c:pt>
                <c:pt idx="64">
                  <c:v>1.294</c:v>
                </c:pt>
                <c:pt idx="65">
                  <c:v>0.56899999999999995</c:v>
                </c:pt>
                <c:pt idx="66">
                  <c:v>0.83099999999999996</c:v>
                </c:pt>
                <c:pt idx="67">
                  <c:v>1.327</c:v>
                </c:pt>
                <c:pt idx="68">
                  <c:v>0.83699999999999997</c:v>
                </c:pt>
                <c:pt idx="69">
                  <c:v>1.173</c:v>
                </c:pt>
                <c:pt idx="70">
                  <c:v>0.51200000000000001</c:v>
                </c:pt>
                <c:pt idx="71">
                  <c:v>0.88200000000000001</c:v>
                </c:pt>
                <c:pt idx="72">
                  <c:v>1.5</c:v>
                </c:pt>
                <c:pt idx="73">
                  <c:v>0.55100000000000005</c:v>
                </c:pt>
                <c:pt idx="74">
                  <c:v>0.76400000000000001</c:v>
                </c:pt>
                <c:pt idx="75">
                  <c:v>1.1870000000000001</c:v>
                </c:pt>
                <c:pt idx="76">
                  <c:v>0.98699999999999999</c:v>
                </c:pt>
                <c:pt idx="77">
                  <c:v>0.48899999999999999</c:v>
                </c:pt>
                <c:pt idx="78">
                  <c:v>7.2999999999999995E-2</c:v>
                </c:pt>
                <c:pt idx="79">
                  <c:v>1.044</c:v>
                </c:pt>
                <c:pt idx="80">
                  <c:v>1.238</c:v>
                </c:pt>
                <c:pt idx="81">
                  <c:v>1.609</c:v>
                </c:pt>
                <c:pt idx="82">
                  <c:v>0.27400000000000002</c:v>
                </c:pt>
                <c:pt idx="83">
                  <c:v>0.191</c:v>
                </c:pt>
                <c:pt idx="84">
                  <c:v>1.2210000000000001</c:v>
                </c:pt>
                <c:pt idx="85">
                  <c:v>0.38500000000000001</c:v>
                </c:pt>
                <c:pt idx="86">
                  <c:v>1.3</c:v>
                </c:pt>
                <c:pt idx="87">
                  <c:v>0.56999999999999995</c:v>
                </c:pt>
                <c:pt idx="88">
                  <c:v>1.1200000000000001</c:v>
                </c:pt>
                <c:pt idx="89">
                  <c:v>1.07</c:v>
                </c:pt>
                <c:pt idx="90">
                  <c:v>0.68500000000000005</c:v>
                </c:pt>
                <c:pt idx="91">
                  <c:v>0.94799999999999995</c:v>
                </c:pt>
                <c:pt idx="92">
                  <c:v>1.0509999999999999</c:v>
                </c:pt>
                <c:pt idx="93">
                  <c:v>0.80100000000000005</c:v>
                </c:pt>
                <c:pt idx="94">
                  <c:v>0.20399999999999999</c:v>
                </c:pt>
                <c:pt idx="95">
                  <c:v>0.71</c:v>
                </c:pt>
                <c:pt idx="96">
                  <c:v>0.879</c:v>
                </c:pt>
                <c:pt idx="97">
                  <c:v>0.44600000000000001</c:v>
                </c:pt>
                <c:pt idx="98">
                  <c:v>1.3959999999999999</c:v>
                </c:pt>
                <c:pt idx="99">
                  <c:v>1.3029999999999999</c:v>
                </c:pt>
                <c:pt idx="100">
                  <c:v>0.69399999999999995</c:v>
                </c:pt>
                <c:pt idx="101">
                  <c:v>0.13800000000000001</c:v>
                </c:pt>
                <c:pt idx="102">
                  <c:v>0.69599999999999995</c:v>
                </c:pt>
                <c:pt idx="103">
                  <c:v>0.98299999999999998</c:v>
                </c:pt>
                <c:pt idx="104">
                  <c:v>1.2629999999999999</c:v>
                </c:pt>
                <c:pt idx="105">
                  <c:v>1.488</c:v>
                </c:pt>
                <c:pt idx="106">
                  <c:v>0.67700000000000005</c:v>
                </c:pt>
                <c:pt idx="107">
                  <c:v>0.65700000000000003</c:v>
                </c:pt>
                <c:pt idx="108">
                  <c:v>1.149</c:v>
                </c:pt>
                <c:pt idx="109">
                  <c:v>0.85499999999999998</c:v>
                </c:pt>
                <c:pt idx="110">
                  <c:v>0.96</c:v>
                </c:pt>
                <c:pt idx="111">
                  <c:v>0.80700000000000005</c:v>
                </c:pt>
                <c:pt idx="112">
                  <c:v>1.206</c:v>
                </c:pt>
                <c:pt idx="113">
                  <c:v>1.2210000000000001</c:v>
                </c:pt>
                <c:pt idx="114">
                  <c:v>1.6839999999999999</c:v>
                </c:pt>
                <c:pt idx="115">
                  <c:v>1.1619999999999999</c:v>
                </c:pt>
                <c:pt idx="116">
                  <c:v>1.1830000000000001</c:v>
                </c:pt>
                <c:pt idx="117">
                  <c:v>0.35899999999999999</c:v>
                </c:pt>
                <c:pt idx="118">
                  <c:v>1.403</c:v>
                </c:pt>
                <c:pt idx="119">
                  <c:v>0.45</c:v>
                </c:pt>
                <c:pt idx="120">
                  <c:v>1.004</c:v>
                </c:pt>
                <c:pt idx="121">
                  <c:v>0.26800000000000002</c:v>
                </c:pt>
                <c:pt idx="122">
                  <c:v>1.5720000000000001</c:v>
                </c:pt>
                <c:pt idx="123">
                  <c:v>1.246</c:v>
                </c:pt>
                <c:pt idx="124">
                  <c:v>1.258</c:v>
                </c:pt>
                <c:pt idx="125">
                  <c:v>0</c:v>
                </c:pt>
                <c:pt idx="126">
                  <c:v>0.96</c:v>
                </c:pt>
                <c:pt idx="127">
                  <c:v>1.3009999999999999</c:v>
                </c:pt>
                <c:pt idx="128">
                  <c:v>0.30599999999999999</c:v>
                </c:pt>
                <c:pt idx="129">
                  <c:v>1.286</c:v>
                </c:pt>
                <c:pt idx="130">
                  <c:v>0.94899999999999995</c:v>
                </c:pt>
                <c:pt idx="131">
                  <c:v>0.81100000000000005</c:v>
                </c:pt>
                <c:pt idx="132">
                  <c:v>1.387</c:v>
                </c:pt>
                <c:pt idx="133">
                  <c:v>1.452</c:v>
                </c:pt>
                <c:pt idx="134">
                  <c:v>0.61899999999999999</c:v>
                </c:pt>
                <c:pt idx="135">
                  <c:v>1.3680000000000001</c:v>
                </c:pt>
                <c:pt idx="136">
                  <c:v>0.49299999999999999</c:v>
                </c:pt>
                <c:pt idx="137">
                  <c:v>0.47599999999999998</c:v>
                </c:pt>
                <c:pt idx="138">
                  <c:v>1.05</c:v>
                </c:pt>
                <c:pt idx="139">
                  <c:v>0.27500000000000002</c:v>
                </c:pt>
                <c:pt idx="140">
                  <c:v>1.2310000000000001</c:v>
                </c:pt>
                <c:pt idx="141">
                  <c:v>0.92100000000000004</c:v>
                </c:pt>
                <c:pt idx="142">
                  <c:v>1.1830000000000001</c:v>
                </c:pt>
                <c:pt idx="143">
                  <c:v>1.052</c:v>
                </c:pt>
                <c:pt idx="144">
                  <c:v>0.33200000000000002</c:v>
                </c:pt>
                <c:pt idx="145">
                  <c:v>0.82</c:v>
                </c:pt>
                <c:pt idx="146">
                  <c:v>1.5029999999999999</c:v>
                </c:pt>
                <c:pt idx="147">
                  <c:v>1.333</c:v>
                </c:pt>
                <c:pt idx="148">
                  <c:v>1.4330000000000001</c:v>
                </c:pt>
                <c:pt idx="149">
                  <c:v>1.1240000000000001</c:v>
                </c:pt>
                <c:pt idx="150">
                  <c:v>0.745</c:v>
                </c:pt>
                <c:pt idx="151">
                  <c:v>0.96</c:v>
                </c:pt>
                <c:pt idx="152">
                  <c:v>0.74099999999999999</c:v>
                </c:pt>
                <c:pt idx="153">
                  <c:v>0.28699999999999998</c:v>
                </c:pt>
                <c:pt idx="154">
                  <c:v>0.57799999999999996</c:v>
                </c:pt>
                <c:pt idx="155">
                  <c:v>0.36599999999999999</c:v>
                </c:pt>
              </c:numCache>
            </c:numRef>
          </c:yVal>
          <c:smooth val="0"/>
          <c:extLst>
            <c:ext xmlns:c16="http://schemas.microsoft.com/office/drawing/2014/chart" uri="{C3380CC4-5D6E-409C-BE32-E72D297353CC}">
              <c16:uniqueId val="{00000000-1C7A-43C6-BAAE-C1D9352A46B2}"/>
            </c:ext>
          </c:extLst>
        </c:ser>
        <c:dLbls>
          <c:showLegendKey val="0"/>
          <c:showVal val="0"/>
          <c:showCatName val="0"/>
          <c:showSerName val="0"/>
          <c:showPercent val="0"/>
          <c:showBubbleSize val="0"/>
        </c:dLbls>
        <c:axId val="840100624"/>
        <c:axId val="840098704"/>
      </c:scatterChart>
      <c:valAx>
        <c:axId val="8401006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Happiness</a:t>
                </a:r>
                <a:r>
                  <a:rPr lang="en-US" baseline="0"/>
                  <a:t> score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098704"/>
        <c:crosses val="autoZero"/>
        <c:crossBetween val="midCat"/>
      </c:valAx>
      <c:valAx>
        <c:axId val="8400987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1006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15</xdr:col>
      <xdr:colOff>358140</xdr:colOff>
      <xdr:row>4</xdr:row>
      <xdr:rowOff>106680</xdr:rowOff>
    </xdr:from>
    <xdr:to>
      <xdr:col>19</xdr:col>
      <xdr:colOff>121920</xdr:colOff>
      <xdr:row>19</xdr:row>
      <xdr:rowOff>106680</xdr:rowOff>
    </xdr:to>
    <xdr:graphicFrame macro="">
      <xdr:nvGraphicFramePr>
        <xdr:cNvPr id="4" name="Chart 3">
          <a:extLst>
            <a:ext uri="{FF2B5EF4-FFF2-40B4-BE49-F238E27FC236}">
              <a16:creationId xmlns:a16="http://schemas.microsoft.com/office/drawing/2014/main" id="{A73E5D02-7326-4644-E6B1-AE81363FF0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68580</xdr:colOff>
      <xdr:row>0</xdr:row>
      <xdr:rowOff>0</xdr:rowOff>
    </xdr:from>
    <xdr:to>
      <xdr:col>7</xdr:col>
      <xdr:colOff>106680</xdr:colOff>
      <xdr:row>15</xdr:row>
      <xdr:rowOff>0</xdr:rowOff>
    </xdr:to>
    <xdr:graphicFrame macro="">
      <xdr:nvGraphicFramePr>
        <xdr:cNvPr id="2" name="Chart 1">
          <a:extLst>
            <a:ext uri="{FF2B5EF4-FFF2-40B4-BE49-F238E27FC236}">
              <a16:creationId xmlns:a16="http://schemas.microsoft.com/office/drawing/2014/main" id="{F51C0FEC-8C3F-5A64-370F-4051014112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76200</xdr:colOff>
      <xdr:row>16</xdr:row>
      <xdr:rowOff>3810</xdr:rowOff>
    </xdr:from>
    <xdr:to>
      <xdr:col>7</xdr:col>
      <xdr:colOff>114300</xdr:colOff>
      <xdr:row>31</xdr:row>
      <xdr:rowOff>3810</xdr:rowOff>
    </xdr:to>
    <xdr:graphicFrame macro="">
      <xdr:nvGraphicFramePr>
        <xdr:cNvPr id="7" name="Chart 6">
          <a:extLst>
            <a:ext uri="{FF2B5EF4-FFF2-40B4-BE49-F238E27FC236}">
              <a16:creationId xmlns:a16="http://schemas.microsoft.com/office/drawing/2014/main" id="{6CC61B18-7A13-1CC1-D323-B9A02B5572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xdr:row>
      <xdr:rowOff>152400</xdr:rowOff>
    </xdr:from>
    <xdr:to>
      <xdr:col>6</xdr:col>
      <xdr:colOff>0</xdr:colOff>
      <xdr:row>8</xdr:row>
      <xdr:rowOff>0</xdr:rowOff>
    </xdr:to>
    <xdr:graphicFrame macro="">
      <xdr:nvGraphicFramePr>
        <xdr:cNvPr id="2" name="Chart 1">
          <a:extLst>
            <a:ext uri="{FF2B5EF4-FFF2-40B4-BE49-F238E27FC236}">
              <a16:creationId xmlns:a16="http://schemas.microsoft.com/office/drawing/2014/main" id="{DD53D971-DA0D-43B3-84EA-C3E1651B12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8</xdr:row>
      <xdr:rowOff>0</xdr:rowOff>
    </xdr:from>
    <xdr:to>
      <xdr:col>6</xdr:col>
      <xdr:colOff>0</xdr:colOff>
      <xdr:row>12</xdr:row>
      <xdr:rowOff>0</xdr:rowOff>
    </xdr:to>
    <xdr:graphicFrame macro="">
      <xdr:nvGraphicFramePr>
        <xdr:cNvPr id="3" name="Chart 2">
          <a:extLst>
            <a:ext uri="{FF2B5EF4-FFF2-40B4-BE49-F238E27FC236}">
              <a16:creationId xmlns:a16="http://schemas.microsoft.com/office/drawing/2014/main" id="{5B90BCD4-6CC9-42E6-9B08-D4C3FDD7CF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xdr:row>
      <xdr:rowOff>205740</xdr:rowOff>
    </xdr:from>
    <xdr:to>
      <xdr:col>1</xdr:col>
      <xdr:colOff>0</xdr:colOff>
      <xdr:row>8</xdr:row>
      <xdr:rowOff>144780</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4DF68062-CFA7-3290-58EE-DF04944F38A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1104900"/>
              <a:ext cx="685800" cy="179832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0</xdr:colOff>
      <xdr:row>4</xdr:row>
      <xdr:rowOff>0</xdr:rowOff>
    </xdr:from>
    <xdr:to>
      <xdr:col>12</xdr:col>
      <xdr:colOff>160020</xdr:colOff>
      <xdr:row>12</xdr:row>
      <xdr:rowOff>0</xdr:rowOff>
    </xdr:to>
    <xdr:graphicFrame macro="">
      <xdr:nvGraphicFramePr>
        <xdr:cNvPr id="6" name="Chart 5">
          <a:extLst>
            <a:ext uri="{FF2B5EF4-FFF2-40B4-BE49-F238E27FC236}">
              <a16:creationId xmlns:a16="http://schemas.microsoft.com/office/drawing/2014/main" id="{126C73C8-C2F5-4B29-B724-6E7BDC637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3</xdr:row>
      <xdr:rowOff>0</xdr:rowOff>
    </xdr:from>
    <xdr:to>
      <xdr:col>11</xdr:col>
      <xdr:colOff>182880</xdr:colOff>
      <xdr:row>4</xdr:row>
      <xdr:rowOff>0</xdr:rowOff>
    </xdr:to>
    <xdr:sp macro="" textlink="">
      <xdr:nvSpPr>
        <xdr:cNvPr id="9" name="Flowchart: Process 8">
          <a:extLst>
            <a:ext uri="{FF2B5EF4-FFF2-40B4-BE49-F238E27FC236}">
              <a16:creationId xmlns:a16="http://schemas.microsoft.com/office/drawing/2014/main" id="{165AB583-3EBA-7D30-3D06-D01B043EE9D8}"/>
            </a:ext>
          </a:extLst>
        </xdr:cNvPr>
        <xdr:cNvSpPr/>
      </xdr:nvSpPr>
      <xdr:spPr>
        <a:xfrm>
          <a:off x="6873240" y="1127760"/>
          <a:ext cx="182880" cy="182880"/>
        </a:xfrm>
        <a:prstGeom prst="flowChartProcess">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AE"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um khan" refreshedDate="46140.486593518515" createdVersion="8" refreshedVersion="8" minRefreshableVersion="3" recordCount="782" xr:uid="{9CCFAD3C-B2C2-4648-9C80-47502AA1D610}">
  <cacheSource type="worksheet">
    <worksheetSource ref="A1:I783" sheet="Working sheet"/>
  </cacheSource>
  <cacheFields count="9">
    <cacheField name="Country" numFmtId="0">
      <sharedItems count="169">
        <s v="Afghanistan"/>
        <s v="Albania"/>
        <s v="Algeria"/>
        <s v="Angola"/>
        <s v="Argentina"/>
        <s v="Armenia"/>
        <s v="Australia"/>
        <s v="Austria"/>
        <s v="Azerbaijan"/>
        <s v="Bahrain"/>
        <s v="Bangladesh"/>
        <s v="Belarus"/>
        <s v="Belgium"/>
        <s v="Belize"/>
        <s v="Benin"/>
        <s v="Bhutan"/>
        <s v="Bolivia"/>
        <s v="Bosnia and Herzegovina"/>
        <s v="Botswana"/>
        <s v="Brazil"/>
        <s v="Bulgaria"/>
        <s v="Burkina Faso"/>
        <s v="Burundi"/>
        <s v="Cambodia"/>
        <s v="Cameroon"/>
        <s v="Canada"/>
        <s v="Central African Republic"/>
        <s v="Chad"/>
        <s v="Chile"/>
        <s v="China"/>
        <s v="Colombia"/>
        <s v="Comoros"/>
        <s v="Congo (Brazzaville)"/>
        <s v="Congo (Kinshasa)"/>
        <s v="Costa Rica"/>
        <s v="Croatia"/>
        <s v="Cyprus"/>
        <s v="Czech Republic"/>
        <s v="Denmark"/>
        <s v="Djibouti"/>
        <s v="Dominican Republic"/>
        <s v="Ecuador"/>
        <s v="Egypt"/>
        <s v="El Salvador"/>
        <s v="Estonia"/>
        <s v="Ethiopia"/>
        <s v="Finland"/>
        <s v="France"/>
        <s v="Gabon"/>
        <s v="Gambia"/>
        <s v="Georgia"/>
        <s v="Germany"/>
        <s v="Ghana"/>
        <s v="Greece"/>
        <s v="Guatemala"/>
        <s v="Guinea"/>
        <s v="Haiti"/>
        <s v="Honduras"/>
        <s v="Hong Kong"/>
        <s v="Hong Kong S.A.R., China"/>
        <s v="Hungary"/>
        <s v="Iceland"/>
        <s v="India"/>
        <s v="Indonesia"/>
        <s v="Iran"/>
        <s v="Iraq"/>
        <s v="Ireland"/>
        <s v="Israel"/>
        <s v="Italy"/>
        <s v="Ivory Coast"/>
        <s v="Jamaica"/>
        <s v="Japan"/>
        <s v="Jordan"/>
        <s v="Kazakhstan"/>
        <s v="Kenya"/>
        <s v="Kosovo"/>
        <s v="Kuwait"/>
        <s v="Kyrgyzstan"/>
        <s v="Laos"/>
        <s v="Latvia"/>
        <s v="Lebanon"/>
        <s v="Lesotho"/>
        <s v="Liberia"/>
        <s v="Libya"/>
        <s v="Lithuania"/>
        <s v="Luxembourg"/>
        <s v="Macedonia"/>
        <s v="Madagascar"/>
        <s v="Malawi"/>
        <s v="Malaysia"/>
        <s v="Mali"/>
        <s v="Malta"/>
        <s v="Mauritania"/>
        <s v="Mauritius"/>
        <s v="Mexico"/>
        <s v="Moldova"/>
        <s v="Mongolia"/>
        <s v="Montenegro"/>
        <s v="Morocco"/>
        <s v="Mozambique"/>
        <s v="Myanmar"/>
        <s v="Namibia"/>
        <s v="Nepal"/>
        <s v="Netherlands"/>
        <s v="New Zealand"/>
        <s v="Nicaragua"/>
        <s v="Niger"/>
        <s v="Nigeria"/>
        <s v="North Cyprus"/>
        <s v="North Macedonia"/>
        <s v="Northern Cyprus"/>
        <s v="Norway"/>
        <s v="Oman"/>
        <s v="Pakistan"/>
        <s v="Palestinian Territories"/>
        <s v="Panama"/>
        <s v="Paraguay"/>
        <s v="Peru"/>
        <s v="Philippines"/>
        <s v="Poland"/>
        <s v="Portugal"/>
        <s v="Puerto Rico"/>
        <s v="Qatar"/>
        <s v="Romania"/>
        <s v="Russia"/>
        <s v="Rwanda"/>
        <s v="Saudi Arabia"/>
        <s v="Senegal"/>
        <s v="Serbia"/>
        <s v="Sierra Leone"/>
        <s v="Singapore"/>
        <s v="Slovakia"/>
        <s v="Slovenia"/>
        <s v="Somalia"/>
        <s v="Somaliland Region"/>
        <s v="South Africa"/>
        <s v="South Korea"/>
        <s v="South Sudan"/>
        <s v="Spain"/>
        <s v="Sri Lanka"/>
        <s v="Sudan"/>
        <s v="Suriname"/>
        <s v="Swaziland"/>
        <s v="Sweden"/>
        <s v="Switzerland"/>
        <s v="Syria"/>
        <s v="Taiwan"/>
        <s v="Taiwan Province of China"/>
        <s v="Tajikistan"/>
        <s v="Tanzania"/>
        <s v="Thailand"/>
        <s v="Togo"/>
        <s v="Trinidad &amp; Tobago"/>
        <s v="Trinidad and Tobago"/>
        <s v="Tunisia"/>
        <s v="Turkey"/>
        <s v="Turkmenistan"/>
        <s v="Uganda"/>
        <s v="Ukraine"/>
        <s v="United Arab Emirates"/>
        <s v="United Kingdom"/>
        <s v="United States"/>
        <s v="Uruguay"/>
        <s v="Uzbekistan"/>
        <s v="Venezuela"/>
        <s v="Vietnam"/>
        <s v="Yemen"/>
        <s v="Zambia"/>
        <s v="Zimbabwe"/>
      </sharedItems>
    </cacheField>
    <cacheField name="Year" numFmtId="0">
      <sharedItems containsSemiMixedTypes="0" containsString="0" containsNumber="1" containsInteger="1" minValue="2015" maxValue="2019" count="5">
        <n v="2015"/>
        <n v="2016"/>
        <n v="2017"/>
        <n v="2018"/>
        <n v="2019"/>
      </sharedItems>
    </cacheField>
    <cacheField name="Happiness_Score" numFmtId="2">
      <sharedItems containsSemiMixedTypes="0" containsString="0" containsNumber="1" minValue="2.6930000782012899" maxValue="7.7690000000000001" count="716">
        <n v="3.5750000000000002"/>
        <n v="3.36"/>
        <n v="3.7939999103546098"/>
        <n v="3.6320000000000001"/>
        <n v="3.2029999999999998"/>
        <n v="4.9589999999999996"/>
        <n v="4.6550000000000002"/>
        <n v="4.6440000534057599"/>
        <n v="4.5860000000000003"/>
        <n v="4.7190000000000003"/>
        <n v="5.6050000000000004"/>
        <n v="6.3550000000000004"/>
        <n v="5.8720002174377397"/>
        <n v="5.2949999999999999"/>
        <n v="5.2110000000000003"/>
        <n v="4.0330000000000004"/>
        <n v="3.8660000000000001"/>
        <n v="3.7950000762939502"/>
        <n v="3.7949999999999999"/>
        <n v="6.5739999999999998"/>
        <n v="6.65"/>
        <n v="6.59899997711182"/>
        <n v="6.3879999999999999"/>
        <n v="6.0860000000000003"/>
        <n v="4.3499999999999996"/>
        <n v="4.3600000000000003"/>
        <n v="4.3759999275207502"/>
        <n v="4.3209999999999997"/>
        <n v="4.5590000000000002"/>
        <n v="7.2839999999999998"/>
        <n v="7.3129999999999997"/>
        <n v="7.2839999198913601"/>
        <n v="7.2720000000000002"/>
        <n v="7.2279999999999998"/>
        <n v="7.2"/>
        <n v="7.1189999999999998"/>
        <n v="7.0060000419616699"/>
        <n v="7.1390000000000002"/>
        <n v="7.2460000000000004"/>
        <n v="5.2119999999999997"/>
        <n v="5.2910000000000004"/>
        <n v="5.2340002059936497"/>
        <n v="5.2009999999999996"/>
        <n v="5.2080000000000002"/>
        <n v="5.96"/>
        <n v="6.218"/>
        <n v="6.0869998931884801"/>
        <n v="6.1050000000000004"/>
        <n v="6.1989999999999998"/>
        <n v="4.694"/>
        <n v="4.6429999999999998"/>
        <n v="4.6079998016357404"/>
        <n v="4.5"/>
        <n v="4.4560000000000004"/>
        <n v="5.8129999999999997"/>
        <n v="5.8019999999999996"/>
        <n v="5.5689997673034703"/>
        <n v="5.4829999999999997"/>
        <n v="5.3230000000000004"/>
        <n v="6.9370000000000003"/>
        <n v="6.9290000000000003"/>
        <n v="6.8909997940063503"/>
        <n v="6.9269999999999996"/>
        <n v="6.923"/>
        <n v="5.9560000000000004"/>
        <n v="5.9559998512268102"/>
        <n v="3.34"/>
        <n v="3.484"/>
        <n v="3.65700006484985"/>
        <n v="4.141"/>
        <n v="4.883"/>
        <n v="5.2530000000000001"/>
        <n v="5.1959999999999997"/>
        <n v="5.0110001564025897"/>
        <n v="5.0819999999999999"/>
        <n v="5.89"/>
        <n v="5.8220000000000001"/>
        <n v="5.8229999542236301"/>
        <n v="5.7519999999999998"/>
        <n v="5.7789999999999999"/>
        <n v="4.9489999999999998"/>
        <n v="5.1630000000000003"/>
        <n v="5.1820001602172896"/>
        <n v="5.1289999999999996"/>
        <n v="5.3860000000000001"/>
        <n v="4.3319999999999999"/>
        <n v="3.9740000000000002"/>
        <n v="3.7660000324249299"/>
        <n v="3.59"/>
        <n v="3.488"/>
        <n v="6.9829999999999997"/>
        <n v="6.952"/>
        <n v="6.6350002288818404"/>
        <n v="6.4189999999999996"/>
        <n v="6.3"/>
        <n v="4.218"/>
        <n v="4.2169999999999996"/>
        <n v="4.7140002250671396"/>
        <n v="4.9329999999999998"/>
        <n v="5.0110000000000001"/>
        <n v="3.5870000000000002"/>
        <n v="3.7389999999999999"/>
        <n v="4.03200006484985"/>
        <n v="4.4240000000000004"/>
        <n v="4.5869999999999997"/>
        <n v="2.9049999999999998"/>
        <n v="2.9049999713897701"/>
        <n v="3.7749999999999999"/>
        <n v="3.819"/>
        <n v="3.907"/>
        <n v="4.1680002212524396"/>
        <n v="4.4329999999999998"/>
        <n v="4.7"/>
        <n v="4.2519999999999998"/>
        <n v="4.5129999999999999"/>
        <n v="4.6950001716613796"/>
        <n v="4.9749999999999996"/>
        <n v="5.0439999999999996"/>
        <n v="7.4269999999999996"/>
        <n v="7.4039999999999999"/>
        <n v="7.31599998474121"/>
        <n v="7.3280000000000003"/>
        <n v="7.2779999999999996"/>
        <n v="3.6779999999999999"/>
        <n v="2.6930000782012899"/>
        <n v="3.0830000000000002"/>
        <n v="3.6669999999999998"/>
        <n v="3.7629999999999999"/>
        <n v="3.9360001087188698"/>
        <n v="4.3010000000000002"/>
        <n v="6.67"/>
        <n v="6.7050000000000001"/>
        <n v="6.65199995040894"/>
        <n v="6.476"/>
        <n v="6.444"/>
        <n v="5.14"/>
        <n v="5.2450000000000001"/>
        <n v="5.2729997634887704"/>
        <n v="5.2460000000000004"/>
        <n v="5.1909999999999998"/>
        <n v="6.4770000000000003"/>
        <n v="6.4809999999999999"/>
        <n v="6.3569998741149902"/>
        <n v="6.26"/>
        <n v="6.125"/>
        <n v="3.956"/>
        <n v="3.9729999999999999"/>
        <n v="3.9889999999999999"/>
        <n v="4.2359999999999998"/>
        <n v="4.2909998893737802"/>
        <n v="4.8120000000000003"/>
        <n v="4.5170000000000003"/>
        <n v="4.2720000000000002"/>
        <n v="4.2800002098083496"/>
        <n v="4.2450000000000001"/>
        <n v="4.4180000000000001"/>
        <n v="7.226"/>
        <n v="7.0869999999999997"/>
        <n v="7.0789999961853001"/>
        <n v="7.0720000000000001"/>
        <n v="7.1669999999999998"/>
        <n v="5.7590000000000003"/>
        <n v="5.4880000000000004"/>
        <n v="5.2930002212524396"/>
        <n v="5.3209999999999997"/>
        <n v="5.4320000000000004"/>
        <n v="5.6890000000000001"/>
        <n v="5.5460000000000003"/>
        <n v="5.6209998130798304"/>
        <n v="5.7619999999999996"/>
        <n v="6.0460000000000003"/>
        <n v="6.5049999999999999"/>
        <n v="6.5960000000000001"/>
        <n v="6.6090002059936497"/>
        <n v="6.7110000000000003"/>
        <n v="6.8520000000000003"/>
        <n v="7.5270000000000001"/>
        <n v="7.5259999999999998"/>
        <n v="7.5219998359680202"/>
        <n v="7.5549999999999997"/>
        <n v="7.6"/>
        <n v="4.3689999999999998"/>
        <n v="4.8849999999999998"/>
        <n v="5.1550000000000002"/>
        <n v="5.2300000190734899"/>
        <n v="5.3019999999999996"/>
        <n v="5.4249999999999998"/>
        <n v="5.9749999999999996"/>
        <n v="5.976"/>
        <n v="6.0079998970031703"/>
        <n v="5.9729999999999999"/>
        <n v="6.0279999999999996"/>
        <n v="4.194"/>
        <n v="4.3620000000000001"/>
        <n v="4.7350001335143999"/>
        <n v="4.4189999999999996"/>
        <n v="4.1660000000000004"/>
        <n v="6.13"/>
        <n v="6.0679999999999996"/>
        <n v="6.0029997825622603"/>
        <n v="6.1669999999999998"/>
        <n v="6.2530000000000001"/>
        <n v="5.4290000000000003"/>
        <n v="5.5170000000000003"/>
        <n v="5.6110000610351598"/>
        <n v="5.7389999999999999"/>
        <n v="5.8929999999999998"/>
        <n v="4.5119999999999996"/>
        <n v="4.508"/>
        <n v="4.46000003814697"/>
        <n v="4.2859999999999996"/>
        <n v="7.4059999999999997"/>
        <n v="7.4130000000000003"/>
        <n v="7.4689998626709002"/>
        <n v="7.6319999999999997"/>
        <n v="7.7690000000000001"/>
        <n v="6.5750000000000002"/>
        <n v="6.4779999999999998"/>
        <n v="6.4419999122619602"/>
        <n v="6.4889999999999999"/>
        <n v="6.5919999999999996"/>
        <n v="3.8959999999999999"/>
        <n v="4.1210000000000004"/>
        <n v="4.4650001525878897"/>
        <n v="4.758"/>
        <n v="4.7990000000000004"/>
        <n v="4.516"/>
        <n v="4.2969999999999997"/>
        <n v="4.2859997749328604"/>
        <n v="4.34"/>
        <n v="4.5190000000000001"/>
        <n v="6.75"/>
        <n v="6.9939999999999998"/>
        <n v="6.9510002136230504"/>
        <n v="6.9649999999999999"/>
        <n v="6.9850000000000003"/>
        <n v="4.633"/>
        <n v="4.2759999999999998"/>
        <n v="4.1199998855590803"/>
        <n v="4.657"/>
        <n v="4.9960000000000004"/>
        <n v="4.8570000000000002"/>
        <n v="5.0330000000000004"/>
        <n v="5.2270002365112296"/>
        <n v="5.3579999999999997"/>
        <n v="5.2869999999999999"/>
        <n v="6.1230000000000002"/>
        <n v="6.3239999999999998"/>
        <n v="6.4539999961853001"/>
        <n v="6.3819999999999997"/>
        <n v="6.4359999999999999"/>
        <n v="3.6560000000000001"/>
        <n v="3.6070000000000002"/>
        <n v="3.5069999694824201"/>
        <n v="3.964"/>
        <n v="4.5339999999999998"/>
        <n v="4.5179999999999998"/>
        <n v="4.0279999999999996"/>
        <n v="3.6029999256134002"/>
        <n v="3.5819999999999999"/>
        <n v="3.597"/>
        <n v="4.7880000000000003"/>
        <n v="4.8710000000000004"/>
        <n v="5.1810002326965297"/>
        <n v="5.5039999999999996"/>
        <n v="5.86"/>
        <n v="5.4740000000000002"/>
        <n v="5.4580000000000002"/>
        <n v="5.43"/>
        <n v="5.4720001220703098"/>
        <n v="4.8"/>
        <n v="5.1449999999999996"/>
        <n v="5.3239998817443803"/>
        <n v="5.62"/>
        <n v="5.758"/>
        <n v="7.5609999999999999"/>
        <n v="7.5010000000000003"/>
        <n v="7.5040001869201696"/>
        <n v="7.4950000000000001"/>
        <n v="7.4939999999999998"/>
        <n v="4.5650000000000004"/>
        <n v="4.4039999999999999"/>
        <n v="4.3150000572204599"/>
        <n v="4.1900000000000004"/>
        <n v="4.0149999999999997"/>
        <n v="5.399"/>
        <n v="5.3140000000000001"/>
        <n v="5.2620000839233398"/>
        <n v="5.093"/>
        <n v="5.1920000000000002"/>
        <n v="4.6859999999999999"/>
        <n v="4.8129999999999997"/>
        <n v="4.6919999122619602"/>
        <n v="4.7069999999999999"/>
        <n v="4.548"/>
        <n v="4.6769999999999996"/>
        <n v="4.5750000000000002"/>
        <n v="4.4970002174377397"/>
        <n v="4.4370000000000003"/>
        <n v="6.94"/>
        <n v="6.907"/>
        <n v="6.9770002365112296"/>
        <n v="6.9770000000000003"/>
        <n v="7.0209999999999999"/>
        <n v="7.2670000000000003"/>
        <n v="7.2129998207092303"/>
        <n v="6.8140000000000001"/>
        <n v="5.9480000000000004"/>
        <n v="5.9770000000000003"/>
        <n v="5.9640002250671396"/>
        <n v="6"/>
        <n v="6.2229999999999999"/>
        <n v="3.6549999999999998"/>
        <n v="3.9159999999999999"/>
        <n v="4.1799998283386204"/>
        <n v="4.6710000000000003"/>
        <n v="4.944"/>
        <n v="5.7089999999999996"/>
        <n v="5.51"/>
        <n v="5.3109998703002903"/>
        <n v="5.9870000000000001"/>
        <n v="5.9210000000000003"/>
        <n v="5.9200000762939498"/>
        <n v="5.915"/>
        <n v="5.8860000000000001"/>
        <n v="5.3029999999999999"/>
        <n v="5.3359999656677202"/>
        <n v="5.1609999999999996"/>
        <n v="4.9059999999999997"/>
        <n v="5.8550000000000004"/>
        <n v="5.9189999999999996"/>
        <n v="5.8189997673034703"/>
        <n v="5.79"/>
        <n v="5.8090000000000002"/>
        <n v="4.3559999999999999"/>
        <n v="4.55299997329712"/>
        <n v="4.41"/>
        <n v="4.5090000000000003"/>
        <n v="5.5890000000000004"/>
        <n v="5.4009999999999998"/>
        <n v="5.2789998054504403"/>
        <n v="5.6619999999999999"/>
        <n v="6.1"/>
        <n v="6.2949999999999999"/>
        <n v="6.2389999999999999"/>
        <n v="6.1050000190734899"/>
        <n v="6.0830000000000002"/>
        <n v="6.0209999999999999"/>
        <n v="5.2859999999999996"/>
        <n v="5.1849999999999996"/>
        <n v="5.0040001869201696"/>
        <n v="5.1310000000000002"/>
        <n v="5.2610000000000001"/>
        <n v="4.8760000000000003"/>
        <n v="4.6230000000000002"/>
        <n v="4.7960000000000003"/>
        <n v="5.0979999999999999"/>
        <n v="5.56"/>
        <n v="5.8499999046325701"/>
        <n v="5.9329999999999998"/>
        <n v="5.94"/>
        <n v="4.8390000000000004"/>
        <n v="5.2249999046325701"/>
        <n v="5.1970000000000001"/>
        <n v="4.8979999999999997"/>
        <n v="3.8080000877380402"/>
        <n v="3.8079999999999998"/>
        <n v="3.802"/>
        <n v="4.5709999999999997"/>
        <n v="3.6219999999999999"/>
        <n v="3.5329999923706099"/>
        <n v="3.4950000000000001"/>
        <n v="3.9750000000000001"/>
        <n v="5.7539999999999996"/>
        <n v="5.6150000000000002"/>
        <n v="5.5250000953674299"/>
        <n v="5.5659999999999998"/>
        <n v="5.5250000000000004"/>
        <n v="5.8330000000000002"/>
        <n v="5.90199995040894"/>
        <n v="5.952"/>
        <n v="6.149"/>
        <n v="6.9459999999999997"/>
        <n v="6.8710000000000004"/>
        <n v="6.8629999160766602"/>
        <n v="6.91"/>
        <n v="7.09"/>
        <n v="5.0069999999999997"/>
        <n v="5.1210000000000004"/>
        <n v="5.1750001907348597"/>
        <n v="3.681"/>
        <n v="3.6949999999999998"/>
        <n v="3.6440000534057599"/>
        <n v="3.774"/>
        <n v="3.9329999999999998"/>
        <n v="4.2919999999999998"/>
        <n v="4.1559999999999997"/>
        <n v="3.9700000286102299"/>
        <n v="3.41"/>
        <n v="5.77"/>
        <n v="6.0049999999999999"/>
        <n v="6.0840001106262198"/>
        <n v="6.3220000000000001"/>
        <n v="5.3390000000000004"/>
        <n v="3.9950000000000001"/>
        <n v="4.0730000000000004"/>
        <n v="4.1900000572204599"/>
        <n v="4.4470000000000001"/>
        <n v="4.3899999999999997"/>
        <n v="6.3019999999999996"/>
        <n v="6.4880000000000004"/>
        <n v="6.52699995040894"/>
        <n v="6.6269999999999998"/>
        <n v="6.726"/>
        <n v="4.4359999999999999"/>
        <n v="4.2009999999999996"/>
        <n v="4.2919998168945304"/>
        <n v="4.49"/>
        <n v="5.4770000000000003"/>
        <n v="5.6479999999999997"/>
        <n v="5.6290001869201696"/>
        <n v="5.891"/>
        <n v="5.8879999999999999"/>
        <n v="7.1870000000000003"/>
        <n v="6.7779999999999996"/>
        <n v="6.5780000686645499"/>
        <n v="6.5949999999999998"/>
        <n v="5.8890000000000002"/>
        <n v="5.8970000000000002"/>
        <n v="5.8379998207092303"/>
        <n v="5.64"/>
        <n v="5.5289999999999999"/>
        <n v="4.8739999999999997"/>
        <n v="4.907"/>
        <n v="4.9549999237060502"/>
        <n v="5.125"/>
        <n v="5.2850000000000001"/>
        <n v="5.23699998855591"/>
        <n v="5.3470000000000004"/>
        <n v="5.5229999999999997"/>
        <n v="5.0129999999999999"/>
        <n v="5.1509999999999998"/>
        <n v="5.2350001335143999"/>
        <n v="5.2539999999999996"/>
        <n v="4.9710000000000001"/>
        <n v="4.5500001907348597"/>
        <n v="4.4169999999999998"/>
        <n v="4.4660000000000002"/>
        <n v="4.3070000000000004"/>
        <n v="4.3949999999999996"/>
        <n v="4.5450000762939498"/>
        <n v="4.3079999999999998"/>
        <n v="4.5739999999999998"/>
        <n v="4.5739998817443803"/>
        <n v="4.4409999999999998"/>
        <n v="4.6390000000000002"/>
        <n v="4.5140000000000002"/>
        <n v="4.7930000000000001"/>
        <n v="4.9619998931884801"/>
        <n v="4.88"/>
        <n v="4.9130000000000003"/>
        <n v="7.3780000000000001"/>
        <n v="7.3390000000000004"/>
        <n v="7.3769998550415004"/>
        <n v="7.4409999999999998"/>
        <n v="7.4880000000000004"/>
        <n v="7.2859999999999996"/>
        <n v="7.3339999999999996"/>
        <n v="7.3140001296997097"/>
        <n v="7.3239999999999998"/>
        <n v="7.3070000000000004"/>
        <n v="5.8280000000000003"/>
        <n v="5.992"/>
        <n v="6.0710000991821298"/>
        <n v="6.141"/>
        <n v="3.8450000000000002"/>
        <n v="3.8559999999999999"/>
        <n v="4.0279998779296902"/>
        <n v="4.6280000000000001"/>
        <n v="5.2679999999999998"/>
        <n v="4.875"/>
        <n v="5.0739998817443803"/>
        <n v="5.2649999999999997"/>
        <n v="5.6950000000000003"/>
        <n v="5.7709999999999999"/>
        <n v="5.8099999427795401"/>
        <n v="5.274"/>
        <n v="5.835"/>
        <n v="5.718"/>
        <n v="7.5220000000000002"/>
        <n v="7.4980000000000002"/>
        <n v="7.5370001792907697"/>
        <n v="7.5940000000000003"/>
        <n v="7.5540000000000003"/>
        <n v="6.8529999999999998"/>
        <n v="5.194"/>
        <n v="5.1319999999999997"/>
        <n v="5.2690000534057599"/>
        <n v="5.4720000000000004"/>
        <n v="5.6529999999999996"/>
        <n v="4.7149999999999999"/>
        <n v="4.7539999999999996"/>
        <n v="4.7750000953674299"/>
        <n v="4.7430000000000003"/>
        <n v="4.6959999999999997"/>
        <n v="6.7859999999999996"/>
        <n v="6.7009999999999996"/>
        <n v="6.4520001411437997"/>
        <n v="6.43"/>
        <n v="6.3209999999999997"/>
        <n v="5.8780000000000001"/>
        <n v="5.5380000000000003"/>
        <n v="5.4930000305175799"/>
        <n v="5.681"/>
        <n v="5.7430000000000003"/>
        <n v="5.8239999999999998"/>
        <n v="5.7150001525878897"/>
        <n v="5.6630000000000003"/>
        <n v="5.6970000000000001"/>
        <n v="5.0730000000000004"/>
        <n v="5.2789999999999999"/>
        <n v="5.4299998283386204"/>
        <n v="5.524"/>
        <n v="5.6310000000000002"/>
        <n v="5.7910000000000004"/>
        <n v="5.97300004959106"/>
        <n v="6.1820000000000004"/>
        <n v="5.1020000000000003"/>
        <n v="5.1230000000000002"/>
        <n v="5.1950001716613796"/>
        <n v="5.41"/>
        <n v="5.6929999999999996"/>
        <n v="7.0389999999999997"/>
        <n v="6.6109999999999998"/>
        <n v="6.375"/>
        <n v="6.3739999999999997"/>
        <n v="5.1239999999999997"/>
        <n v="5.5279999999999996"/>
        <n v="5.8249998092651403"/>
        <n v="5.9450000000000003"/>
        <n v="6.07"/>
        <n v="5.7160000000000002"/>
        <n v="5.8559999999999999"/>
        <n v="5.9629998207092303"/>
        <n v="5.81"/>
        <n v="3.4649999999999999"/>
        <n v="3.5150000000000001"/>
        <n v="3.4709999561309801"/>
        <n v="3.4079999999999999"/>
        <n v="3.3340000000000001"/>
        <n v="6.4109999999999996"/>
        <n v="6.3789999999999996"/>
        <n v="6.3439998626709002"/>
        <n v="6.3710000000000004"/>
        <n v="3.9039999999999999"/>
        <n v="4.2190000000000003"/>
        <n v="4.5349998474121103"/>
        <n v="4.6310000000000002"/>
        <n v="4.681"/>
        <n v="5.1769999999999996"/>
        <n v="5.3949999809265101"/>
        <n v="5.3979999999999997"/>
        <n v="5.6029999999999998"/>
        <n v="4.5069999999999997"/>
        <n v="4.6349999999999998"/>
        <n v="4.7090001106262198"/>
        <n v="4.3739999999999997"/>
        <n v="6.798"/>
        <n v="6.7389999999999999"/>
        <n v="6.57200002670288"/>
        <n v="6.343"/>
        <n v="6.2619999999999996"/>
        <n v="5.9950000000000001"/>
        <n v="6.0780000000000003"/>
        <n v="6.09800004959106"/>
        <n v="6.173"/>
        <n v="6.1980000000000004"/>
        <n v="5.8479999999999999"/>
        <n v="5.7679999999999998"/>
        <n v="5.7579998970031703"/>
        <n v="6.1180000000000003"/>
        <n v="5.44"/>
        <n v="5.15100002288818"/>
        <n v="4.9820000000000002"/>
        <n v="4.6680000000000001"/>
        <n v="5.0570000000000004"/>
        <n v="4.6420000000000003"/>
        <n v="4.4589999999999996"/>
        <n v="4.8289999961853001"/>
        <n v="4.7240000000000002"/>
        <n v="4.7220000000000004"/>
        <n v="5.984"/>
        <n v="5.875"/>
        <n v="5.8949999999999996"/>
        <n v="3.8319999999999999"/>
        <n v="3.5910000801086399"/>
        <n v="3.254"/>
        <n v="2.8530000000000002"/>
        <n v="6.3289999999999997"/>
        <n v="6.3609999999999998"/>
        <n v="6.4029998779296902"/>
        <n v="6.31"/>
        <n v="6.3540000000000001"/>
        <n v="4.2709999999999999"/>
        <n v="4.415"/>
        <n v="4.4400000572204599"/>
        <n v="4.4710000000000001"/>
        <n v="4.3659999999999997"/>
        <n v="4.55"/>
        <n v="4.1390000000000002"/>
        <n v="4.1389999389648402"/>
        <n v="6.2690000000000001"/>
        <n v="4.867"/>
        <n v="4.2119999999999997"/>
        <n v="7.3639999999999999"/>
        <n v="7.2910000000000004"/>
        <n v="7.3140000000000001"/>
        <n v="7.343"/>
        <n v="7.5869999999999997"/>
        <n v="7.5090000000000003"/>
        <n v="7.4939999580383301"/>
        <n v="7.4870000000000001"/>
        <n v="7.48"/>
        <n v="3.0059999999999998"/>
        <n v="3.069"/>
        <n v="3.4619998931884801"/>
        <n v="3.4620000000000002"/>
        <n v="6.298"/>
        <n v="6.4409999999999998"/>
        <n v="6.4459999999999997"/>
        <n v="6.4219999313354501"/>
        <n v="4.7859999999999996"/>
        <n v="5.0409998893737802"/>
        <n v="5.1989999999999998"/>
        <n v="5.4669999999999996"/>
        <n v="3.7810000000000001"/>
        <n v="3.6659999999999999"/>
        <n v="3.34899997711182"/>
        <n v="3.3029999999999999"/>
        <n v="3.2309999999999999"/>
        <n v="6.4550000000000001"/>
        <n v="6.4740000000000002"/>
        <n v="6.4239997863769496"/>
        <n v="6.0720000000000001"/>
        <n v="6.008"/>
        <n v="2.839"/>
        <n v="3.4949998855590798"/>
        <n v="3.9990000000000001"/>
        <n v="4.085"/>
        <n v="6.1920000000000002"/>
        <n v="6.1680000000000001"/>
        <n v="6.1680002212524396"/>
        <n v="4.7389999999999999"/>
        <n v="5.0449999999999999"/>
        <n v="4.8049998283386204"/>
        <n v="4.5919999999999996"/>
        <n v="4.4610000000000003"/>
        <n v="5.3319999999999999"/>
        <n v="5.3890000000000002"/>
        <n v="5.5"/>
        <n v="5.3730000000000002"/>
        <n v="5.548"/>
        <n v="5.6580000000000004"/>
        <n v="5.82200002670288"/>
        <n v="5.6360000000000001"/>
        <n v="5.2469999999999999"/>
        <n v="3.931"/>
        <n v="4.0809998512268102"/>
        <n v="4.1609999999999996"/>
        <n v="4.1890000000000001"/>
        <n v="4.3239999999999998"/>
        <n v="4.0960001945495597"/>
        <n v="4.1029999999999998"/>
        <n v="6.9009999999999998"/>
        <n v="6.5730000000000004"/>
        <n v="6.6479997634887704"/>
        <n v="6.774"/>
        <n v="6.8250000000000002"/>
        <n v="6.867"/>
        <n v="6.7249999999999996"/>
        <n v="6.7140002250671396"/>
        <n v="7.19"/>
        <n v="7.0540000000000003"/>
        <n v="7.1040000000000001"/>
        <n v="6.9930000305175799"/>
        <n v="6.8860000000000001"/>
        <n v="6.8920000000000003"/>
        <n v="6.4850000000000003"/>
        <n v="6.5449999999999999"/>
        <n v="6.2930000000000001"/>
        <n v="6.0030000000000001"/>
        <n v="5.9710001945495597"/>
        <n v="6.0960000000000001"/>
        <n v="6.1740000000000004"/>
        <n v="6.81"/>
        <n v="6.0839999999999996"/>
        <n v="5.25"/>
        <n v="4.806"/>
        <n v="5.36"/>
        <n v="5.0609999999999999"/>
        <n v="5.1029999999999998"/>
        <n v="5.1749999999999998"/>
        <n v="4.077"/>
        <n v="3.7240000000000002"/>
        <n v="3.59299993515015"/>
        <n v="3.355"/>
        <n v="3.38"/>
        <n v="4.7949999999999999"/>
        <n v="4.5139999389648402"/>
        <n v="4.3769999999999998"/>
        <n v="4.1070000000000002"/>
        <n v="4.6100000000000003"/>
        <n v="4.1929999999999996"/>
        <n v="3.875"/>
        <n v="3.6920000000000002"/>
        <n v="3.6629999999999998"/>
      </sharedItems>
    </cacheField>
    <cacheField name="GDP" numFmtId="2">
      <sharedItems containsSemiMixedTypes="0" containsString="0" containsNumber="1" minValue="0" maxValue="2.0960000000000001"/>
    </cacheField>
    <cacheField name="Social_Support" numFmtId="2">
      <sharedItems containsSemiMixedTypes="0" containsString="0" containsNumber="1" minValue="0" maxValue="1.6439999999999999"/>
    </cacheField>
    <cacheField name="Life_Expectancy" numFmtId="2">
      <sharedItems containsSemiMixedTypes="0" containsString="0" containsNumber="1" minValue="0" maxValue="1.141"/>
    </cacheField>
    <cacheField name="Freedom" numFmtId="2">
      <sharedItems containsSemiMixedTypes="0" containsString="0" containsNumber="1" minValue="0" maxValue="0.72399999999999998"/>
    </cacheField>
    <cacheField name="Generosity" numFmtId="2">
      <sharedItems containsSemiMixedTypes="0" containsString="0" containsNumber="1" minValue="0" maxValue="0.83807516098022505"/>
    </cacheField>
    <cacheField name="Corruption" numFmtId="2">
      <sharedItems containsString="0" containsBlank="1" containsNumber="1" minValue="0" maxValue="0.55191000000000001"/>
    </cacheField>
  </cacheFields>
  <extLst>
    <ext xmlns:x14="http://schemas.microsoft.com/office/spreadsheetml/2009/9/main" uri="{725AE2AE-9491-48be-B2B4-4EB974FC3084}">
      <x14:pivotCacheDefinition pivotCacheId="11392753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2">
  <r>
    <x v="0"/>
    <x v="0"/>
    <x v="0"/>
    <n v="0.31981999999999999"/>
    <n v="0.30285000000000001"/>
    <n v="0.30335000000000001"/>
    <n v="0.23413999999999999"/>
    <n v="0.36509999999999998"/>
    <n v="9.7189999999999999E-2"/>
  </r>
  <r>
    <x v="0"/>
    <x v="1"/>
    <x v="1"/>
    <n v="0.38227"/>
    <n v="0.11037"/>
    <n v="0.17344000000000001"/>
    <n v="0.1643"/>
    <n v="0.31268000000000001"/>
    <n v="7.1120000000000003E-2"/>
  </r>
  <r>
    <x v="0"/>
    <x v="2"/>
    <x v="2"/>
    <n v="0.40147721767425498"/>
    <n v="0.58154332637786899"/>
    <n v="0.18074677884578699"/>
    <n v="0.10617952048778501"/>
    <n v="0.31187093257904103"/>
    <n v="6.1157830059528399E-2"/>
  </r>
  <r>
    <x v="0"/>
    <x v="3"/>
    <x v="3"/>
    <n v="0.33200000000000002"/>
    <n v="0.53700000000000003"/>
    <n v="0.255"/>
    <n v="8.5000000000000006E-2"/>
    <n v="0.191"/>
    <n v="3.5999999999999997E-2"/>
  </r>
  <r>
    <x v="0"/>
    <x v="4"/>
    <x v="4"/>
    <n v="0.35"/>
    <n v="0.51700000000000002"/>
    <n v="0.36099999999999999"/>
    <n v="0"/>
    <n v="0.158"/>
    <n v="2.5000000000000001E-2"/>
  </r>
  <r>
    <x v="1"/>
    <x v="0"/>
    <x v="5"/>
    <n v="0.87866999999999995"/>
    <n v="0.80434000000000005"/>
    <n v="0.81325000000000003"/>
    <n v="0.35732999999999998"/>
    <n v="0.14272000000000001"/>
    <n v="6.4130000000000006E-2"/>
  </r>
  <r>
    <x v="1"/>
    <x v="1"/>
    <x v="6"/>
    <n v="0.95530000000000004"/>
    <n v="0.50163000000000002"/>
    <n v="0.73007"/>
    <n v="0.31866"/>
    <n v="0.16839999999999999"/>
    <n v="5.3010000000000002E-2"/>
  </r>
  <r>
    <x v="1"/>
    <x v="2"/>
    <x v="7"/>
    <n v="0.99619275331497203"/>
    <n v="0.80368524789810203"/>
    <n v="0.73115974664688099"/>
    <n v="0.38149863481521601"/>
    <n v="0.20131294429302199"/>
    <n v="3.9864215999841697E-2"/>
  </r>
  <r>
    <x v="1"/>
    <x v="3"/>
    <x v="8"/>
    <n v="0.91600000000000004"/>
    <n v="0.81699999999999995"/>
    <n v="0.79"/>
    <n v="0.41899999999999998"/>
    <n v="0.14899999999999999"/>
    <n v="3.2000000000000001E-2"/>
  </r>
  <r>
    <x v="1"/>
    <x v="4"/>
    <x v="9"/>
    <n v="0.94699999999999995"/>
    <n v="0.84799999999999998"/>
    <n v="0.874"/>
    <n v="0.38300000000000001"/>
    <n v="0.17799999999999999"/>
    <n v="2.7E-2"/>
  </r>
  <r>
    <x v="2"/>
    <x v="0"/>
    <x v="10"/>
    <n v="0.93928999999999996"/>
    <n v="1.07772"/>
    <n v="0.61765999999999999"/>
    <n v="0.28578999999999999"/>
    <n v="7.8219999999999998E-2"/>
    <n v="0.17383000000000001"/>
  </r>
  <r>
    <x v="2"/>
    <x v="1"/>
    <x v="11"/>
    <n v="1.0526599999999999"/>
    <n v="0.83309"/>
    <n v="0.61804000000000003"/>
    <n v="0.21006"/>
    <n v="7.0440000000000003E-2"/>
    <n v="0.16156999999999999"/>
  </r>
  <r>
    <x v="2"/>
    <x v="2"/>
    <x v="12"/>
    <n v="1.09186446666718"/>
    <n v="1.1462174654007"/>
    <n v="0.61758464574813798"/>
    <n v="0.23333580791950201"/>
    <n v="6.9436646997928606E-2"/>
    <n v="0.14609611034393299"/>
  </r>
  <r>
    <x v="2"/>
    <x v="3"/>
    <x v="13"/>
    <n v="0.97899999999999998"/>
    <n v="1.1539999999999999"/>
    <n v="0.68700000000000006"/>
    <n v="7.6999999999999999E-2"/>
    <n v="5.5E-2"/>
    <n v="0.13500000000000001"/>
  </r>
  <r>
    <x v="2"/>
    <x v="4"/>
    <x v="14"/>
    <n v="1.002"/>
    <n v="1.1599999999999999"/>
    <n v="0.78500000000000003"/>
    <n v="8.5999999999999993E-2"/>
    <n v="7.2999999999999995E-2"/>
    <n v="0.114"/>
  </r>
  <r>
    <x v="3"/>
    <x v="0"/>
    <x v="15"/>
    <n v="0.75778000000000001"/>
    <n v="0.86040000000000005"/>
    <n v="0.16683000000000001"/>
    <n v="0.10384"/>
    <n v="0.12343999999999999"/>
    <n v="7.1220000000000006E-2"/>
  </r>
  <r>
    <x v="3"/>
    <x v="1"/>
    <x v="16"/>
    <n v="0.84731000000000001"/>
    <n v="0.66366000000000003"/>
    <n v="4.9910000000000003E-2"/>
    <n v="5.8900000000000003E-3"/>
    <n v="0.12071"/>
    <n v="8.4339999999999998E-2"/>
  </r>
  <r>
    <x v="3"/>
    <x v="2"/>
    <x v="17"/>
    <n v="0.85842818021774303"/>
    <n v="1.1044119596481301"/>
    <n v="4.9868665635585799E-2"/>
    <n v="0"/>
    <n v="9.7926490008830996E-2"/>
    <n v="6.9720335304737105E-2"/>
  </r>
  <r>
    <x v="3"/>
    <x v="3"/>
    <x v="18"/>
    <n v="0.73"/>
    <n v="1.125"/>
    <n v="0.26900000000000002"/>
    <n v="0"/>
    <n v="7.9000000000000001E-2"/>
    <n v="6.0999999999999999E-2"/>
  </r>
  <r>
    <x v="4"/>
    <x v="0"/>
    <x v="19"/>
    <n v="1.0535099999999999"/>
    <n v="1.24823"/>
    <n v="0.78722999999999999"/>
    <n v="0.44973999999999997"/>
    <n v="0.11451"/>
    <n v="8.4839999999999999E-2"/>
  </r>
  <r>
    <x v="4"/>
    <x v="1"/>
    <x v="20"/>
    <n v="1.15137"/>
    <n v="1.06612"/>
    <n v="0.69711000000000001"/>
    <n v="0.42283999999999999"/>
    <n v="0.10989"/>
    <n v="7.2959999999999997E-2"/>
  </r>
  <r>
    <x v="4"/>
    <x v="2"/>
    <x v="21"/>
    <n v="1.1852954626083401"/>
    <n v="1.44045114517212"/>
    <n v="0.69513708353042603"/>
    <n v="0.494519203901291"/>
    <n v="0.109457060694695"/>
    <n v="5.9739887714386E-2"/>
  </r>
  <r>
    <x v="4"/>
    <x v="3"/>
    <x v="22"/>
    <n v="1.073"/>
    <n v="1.468"/>
    <n v="0.74399999999999999"/>
    <n v="0.56999999999999995"/>
    <n v="6.2E-2"/>
    <n v="5.3999999999999999E-2"/>
  </r>
  <r>
    <x v="4"/>
    <x v="4"/>
    <x v="23"/>
    <n v="1.0920000000000001"/>
    <n v="1.4319999999999999"/>
    <n v="0.88100000000000001"/>
    <n v="0.47099999999999997"/>
    <n v="6.6000000000000003E-2"/>
    <n v="0.05"/>
  </r>
  <r>
    <x v="5"/>
    <x v="0"/>
    <x v="24"/>
    <n v="0.76820999999999995"/>
    <n v="0.77710999999999997"/>
    <n v="0.72989999999999999"/>
    <n v="0.19847000000000001"/>
    <n v="7.8549999999999995E-2"/>
    <n v="3.9E-2"/>
  </r>
  <r>
    <x v="5"/>
    <x v="1"/>
    <x v="25"/>
    <n v="0.86085999999999996"/>
    <n v="0.62477000000000005"/>
    <n v="0.64083000000000001"/>
    <n v="0.14036999999999999"/>
    <n v="7.7929999999999999E-2"/>
    <n v="3.6159999999999998E-2"/>
  </r>
  <r>
    <x v="5"/>
    <x v="2"/>
    <x v="26"/>
    <n v="0.90059673786163297"/>
    <n v="1.0074837207794201"/>
    <n v="0.63752442598342896"/>
    <n v="0.198303267359734"/>
    <n v="8.3488091826438904E-2"/>
    <n v="2.66744215041399E-2"/>
  </r>
  <r>
    <x v="5"/>
    <x v="3"/>
    <x v="27"/>
    <n v="0.81599999999999995"/>
    <n v="0.99"/>
    <n v="0.66600000000000004"/>
    <n v="0.26"/>
    <n v="7.6999999999999999E-2"/>
    <n v="2.8000000000000001E-2"/>
  </r>
  <r>
    <x v="5"/>
    <x v="4"/>
    <x v="28"/>
    <n v="0.85"/>
    <n v="1.0549999999999999"/>
    <n v="0.81499999999999995"/>
    <n v="0.28299999999999997"/>
    <n v="9.5000000000000001E-2"/>
    <n v="6.4000000000000001E-2"/>
  </r>
  <r>
    <x v="6"/>
    <x v="0"/>
    <x v="29"/>
    <n v="1.33358"/>
    <n v="1.3092299999999999"/>
    <n v="0.93156000000000005"/>
    <n v="0.65124000000000004"/>
    <n v="0.43562000000000001"/>
    <n v="0.35637000000000002"/>
  </r>
  <r>
    <x v="6"/>
    <x v="1"/>
    <x v="30"/>
    <n v="1.4444300000000001"/>
    <n v="1.10476"/>
    <n v="0.85119999999999996"/>
    <n v="0.56837000000000004"/>
    <n v="0.47406999999999999"/>
    <n v="0.32330999999999999"/>
  </r>
  <r>
    <x v="6"/>
    <x v="2"/>
    <x v="31"/>
    <n v="1.484414935112"/>
    <n v="1.51004195213318"/>
    <n v="0.84388679265975997"/>
    <n v="0.60160738229751598"/>
    <n v="0.47769924998283397"/>
    <n v="0.30118373036384599"/>
  </r>
  <r>
    <x v="6"/>
    <x v="3"/>
    <x v="32"/>
    <n v="1.34"/>
    <n v="1.573"/>
    <n v="0.91"/>
    <n v="0.64700000000000002"/>
    <n v="0.36099999999999999"/>
    <n v="0.30199999999999999"/>
  </r>
  <r>
    <x v="6"/>
    <x v="4"/>
    <x v="33"/>
    <n v="1.3720000000000001"/>
    <n v="1.548"/>
    <n v="1.036"/>
    <n v="0.55700000000000005"/>
    <n v="0.33200000000000002"/>
    <n v="0.28999999999999998"/>
  </r>
  <r>
    <x v="7"/>
    <x v="0"/>
    <x v="34"/>
    <n v="1.3372299999999999"/>
    <n v="1.29704"/>
    <n v="0.89041999999999999"/>
    <n v="0.62433000000000005"/>
    <n v="0.33088000000000001"/>
    <n v="0.18676000000000001"/>
  </r>
  <r>
    <x v="7"/>
    <x v="1"/>
    <x v="35"/>
    <n v="1.45038"/>
    <n v="1.0838300000000001"/>
    <n v="0.80564999999999998"/>
    <n v="0.54354999999999998"/>
    <n v="0.32865"/>
    <n v="0.21348"/>
  </r>
  <r>
    <x v="7"/>
    <x v="2"/>
    <x v="36"/>
    <n v="1.4870972633361801"/>
    <n v="1.4599449634552"/>
    <n v="0.81532841920852706"/>
    <n v="0.56776618957519498"/>
    <n v="0.31647232174873402"/>
    <n v="0.221060365438461"/>
  </r>
  <r>
    <x v="7"/>
    <x v="3"/>
    <x v="37"/>
    <n v="1.341"/>
    <n v="1.504"/>
    <n v="0.89100000000000001"/>
    <n v="0.61699999999999999"/>
    <n v="0.24199999999999999"/>
    <n v="0.224"/>
  </r>
  <r>
    <x v="7"/>
    <x v="4"/>
    <x v="38"/>
    <n v="1.3759999999999999"/>
    <n v="1.4750000000000001"/>
    <n v="1.016"/>
    <n v="0.53200000000000003"/>
    <n v="0.24399999999999999"/>
    <n v="0.22600000000000001"/>
  </r>
  <r>
    <x v="8"/>
    <x v="0"/>
    <x v="39"/>
    <n v="1.02389"/>
    <n v="0.93793000000000004"/>
    <n v="0.64044999999999996"/>
    <n v="0.37030000000000002"/>
    <n v="7.7990000000000004E-2"/>
    <n v="0.16064999999999999"/>
  </r>
  <r>
    <x v="8"/>
    <x v="1"/>
    <x v="40"/>
    <n v="1.1237299999999999"/>
    <n v="0.76041999999999998"/>
    <n v="0.54503999999999997"/>
    <n v="0.35326999999999997"/>
    <n v="5.6399999999999999E-2"/>
    <n v="0.17913999999999999"/>
  </r>
  <r>
    <x v="8"/>
    <x v="2"/>
    <x v="41"/>
    <n v="1.1536017656326301"/>
    <n v="1.15240025520325"/>
    <n v="0.54077577590942405"/>
    <n v="0.398155838251114"/>
    <n v="4.5269340276718098E-2"/>
    <n v="0.18098750710487399"/>
  </r>
  <r>
    <x v="8"/>
    <x v="3"/>
    <x v="42"/>
    <n v="1.024"/>
    <n v="1.161"/>
    <n v="0.60299999999999998"/>
    <n v="0.43"/>
    <n v="3.1E-2"/>
    <n v="0.17599999999999999"/>
  </r>
  <r>
    <x v="8"/>
    <x v="4"/>
    <x v="43"/>
    <n v="1.0429999999999999"/>
    <n v="1.147"/>
    <n v="0.76900000000000002"/>
    <n v="0.35099999999999998"/>
    <n v="3.5000000000000003E-2"/>
    <n v="0.182"/>
  </r>
  <r>
    <x v="9"/>
    <x v="0"/>
    <x v="44"/>
    <n v="1.32376"/>
    <n v="1.21624"/>
    <n v="0.74716000000000005"/>
    <n v="0.45491999999999999"/>
    <n v="0.17362"/>
    <n v="0.30599999999999999"/>
  </r>
  <r>
    <x v="9"/>
    <x v="1"/>
    <x v="45"/>
    <n v="1.44024"/>
    <n v="0.94396999999999998"/>
    <n v="0.65695999999999999"/>
    <n v="0.47375"/>
    <n v="0.17147000000000001"/>
    <n v="0.25772"/>
  </r>
  <r>
    <x v="9"/>
    <x v="2"/>
    <x v="46"/>
    <n v="1.4884122610092201"/>
    <n v="1.3231104612350499"/>
    <n v="0.65313303470611594"/>
    <n v="0.53674691915512096"/>
    <n v="0.172668486833572"/>
    <n v="0.25704216957092302"/>
  </r>
  <r>
    <x v="9"/>
    <x v="3"/>
    <x v="47"/>
    <n v="1.3380000000000001"/>
    <n v="1.3660000000000001"/>
    <n v="0.69799999999999995"/>
    <n v="0.59399999999999997"/>
    <n v="0.24299999999999999"/>
    <n v="0.123"/>
  </r>
  <r>
    <x v="9"/>
    <x v="4"/>
    <x v="48"/>
    <n v="1.3620000000000001"/>
    <n v="1.3680000000000001"/>
    <n v="0.871"/>
    <n v="0.53600000000000003"/>
    <n v="0.255"/>
    <n v="0.11"/>
  </r>
  <r>
    <x v="10"/>
    <x v="0"/>
    <x v="49"/>
    <n v="0.39752999999999999"/>
    <n v="0.43106"/>
    <n v="0.60163999999999995"/>
    <n v="0.40820000000000001"/>
    <n v="0.21221999999999999"/>
    <n v="0.12569"/>
  </r>
  <r>
    <x v="10"/>
    <x v="1"/>
    <x v="50"/>
    <n v="0.54176999999999997"/>
    <n v="0.24748999999999999"/>
    <n v="0.52988999999999997"/>
    <n v="0.39778000000000002"/>
    <n v="0.19131999999999999"/>
    <n v="0.12583"/>
  </r>
  <r>
    <x v="10"/>
    <x v="2"/>
    <x v="51"/>
    <n v="0.58668297529220603"/>
    <n v="0.73513174057006803"/>
    <n v="0.53324103355407704"/>
    <n v="0.47835665941238398"/>
    <n v="0.17225535213947299"/>
    <n v="0.123717859387398"/>
  </r>
  <r>
    <x v="10"/>
    <x v="3"/>
    <x v="52"/>
    <n v="0.53200000000000003"/>
    <n v="0.85"/>
    <n v="0.57899999999999996"/>
    <n v="0.57999999999999996"/>
    <n v="0.153"/>
    <n v="0.14399999999999999"/>
  </r>
  <r>
    <x v="10"/>
    <x v="4"/>
    <x v="53"/>
    <n v="0.56200000000000006"/>
    <n v="0.92800000000000005"/>
    <n v="0.72299999999999998"/>
    <n v="0.52700000000000002"/>
    <n v="0.16600000000000001"/>
    <n v="0.14299999999999999"/>
  </r>
  <r>
    <x v="11"/>
    <x v="0"/>
    <x v="54"/>
    <n v="1.0319199999999999"/>
    <n v="1.23289"/>
    <n v="0.73607999999999996"/>
    <n v="0.37938"/>
    <n v="0.11046"/>
    <n v="0.19089999999999999"/>
  </r>
  <r>
    <x v="11"/>
    <x v="1"/>
    <x v="55"/>
    <n v="1.13062"/>
    <n v="1.04993"/>
    <n v="0.63104000000000005"/>
    <n v="0.29091"/>
    <n v="0.13941999999999999"/>
    <n v="0.17457"/>
  </r>
  <r>
    <x v="11"/>
    <x v="2"/>
    <x v="56"/>
    <n v="1.1565575599670399"/>
    <n v="1.44494521617889"/>
    <n v="0.63771426677703902"/>
    <n v="0.29540026187896701"/>
    <n v="0.15513750910759"/>
    <n v="0.156313821673393"/>
  </r>
  <r>
    <x v="11"/>
    <x v="3"/>
    <x v="57"/>
    <n v="1.0389999999999999"/>
    <n v="1.498"/>
    <n v="0.7"/>
    <n v="0.307"/>
    <n v="0.10100000000000001"/>
    <n v="0.154"/>
  </r>
  <r>
    <x v="11"/>
    <x v="4"/>
    <x v="58"/>
    <n v="1.0669999999999999"/>
    <n v="1.4650000000000001"/>
    <n v="0.78900000000000003"/>
    <n v="0.23499999999999999"/>
    <n v="9.4E-2"/>
    <n v="0.14199999999999999"/>
  </r>
  <r>
    <x v="12"/>
    <x v="0"/>
    <x v="59"/>
    <n v="1.30782"/>
    <n v="1.28566"/>
    <n v="0.89666999999999997"/>
    <n v="0.58450000000000002"/>
    <n v="0.2225"/>
    <n v="0.22539999999999999"/>
  </r>
  <r>
    <x v="12"/>
    <x v="1"/>
    <x v="60"/>
    <n v="1.4253899999999999"/>
    <n v="1.0524899999999999"/>
    <n v="0.81959000000000004"/>
    <n v="0.51354"/>
    <n v="0.2424"/>
    <n v="0.26247999999999999"/>
  </r>
  <r>
    <x v="12"/>
    <x v="2"/>
    <x v="61"/>
    <n v="1.4637807607650799"/>
    <n v="1.46231269836426"/>
    <n v="0.81809186935424805"/>
    <n v="0.53977072238922097"/>
    <n v="0.23150333762168901"/>
    <n v="0.25134313106536899"/>
  </r>
  <r>
    <x v="12"/>
    <x v="3"/>
    <x v="62"/>
    <n v="1.3240000000000001"/>
    <n v="1.4830000000000001"/>
    <n v="0.89400000000000002"/>
    <n v="0.58299999999999996"/>
    <n v="0.188"/>
    <n v="0.24"/>
  </r>
  <r>
    <x v="12"/>
    <x v="4"/>
    <x v="63"/>
    <n v="1.3560000000000001"/>
    <n v="1.504"/>
    <n v="0.98599999999999999"/>
    <n v="0.47299999999999998"/>
    <n v="0.16"/>
    <n v="0.21"/>
  </r>
  <r>
    <x v="13"/>
    <x v="1"/>
    <x v="64"/>
    <n v="0.87616000000000005"/>
    <n v="0.68654999999999999"/>
    <n v="0.45568999999999998"/>
    <n v="0.51231000000000004"/>
    <n v="0.23683999999999999"/>
    <n v="0.10771"/>
  </r>
  <r>
    <x v="13"/>
    <x v="2"/>
    <x v="65"/>
    <n v="0.90797531604766801"/>
    <n v="1.0814177989959699"/>
    <n v="0.45019176602363598"/>
    <n v="0.54750937223434404"/>
    <n v="0.24001564085483601"/>
    <n v="9.6581071615219102E-2"/>
  </r>
  <r>
    <x v="13"/>
    <x v="3"/>
    <x v="64"/>
    <n v="0.80700000000000005"/>
    <n v="1.101"/>
    <n v="0.47399999999999998"/>
    <n v="0.59299999999999997"/>
    <n v="0.183"/>
    <n v="8.8999999999999996E-2"/>
  </r>
  <r>
    <x v="14"/>
    <x v="0"/>
    <x v="66"/>
    <n v="0.28665000000000002"/>
    <n v="0.35386000000000001"/>
    <n v="0.31909999999999999"/>
    <n v="0.48449999999999999"/>
    <n v="0.18260000000000001"/>
    <n v="8.0100000000000005E-2"/>
  </r>
  <r>
    <x v="14"/>
    <x v="1"/>
    <x v="67"/>
    <n v="0.39499000000000001"/>
    <n v="0.10419"/>
    <n v="0.21027999999999999"/>
    <n v="0.39746999999999999"/>
    <n v="0.20180000000000001"/>
    <n v="6.6809999999999994E-2"/>
  </r>
  <r>
    <x v="14"/>
    <x v="2"/>
    <x v="68"/>
    <n v="0.43108540773391701"/>
    <n v="0.435299843549728"/>
    <n v="0.20993021130561801"/>
    <n v="0.42596277594566301"/>
    <n v="0.20794846117496499"/>
    <n v="6.0929015278816202E-2"/>
  </r>
  <r>
    <x v="14"/>
    <x v="3"/>
    <x v="69"/>
    <n v="0.378"/>
    <n v="0.372"/>
    <n v="0.24"/>
    <n v="0.44"/>
    <n v="0.16300000000000001"/>
    <n v="6.7000000000000004E-2"/>
  </r>
  <r>
    <x v="14"/>
    <x v="4"/>
    <x v="70"/>
    <n v="0.39300000000000002"/>
    <n v="0.437"/>
    <n v="0.39700000000000002"/>
    <n v="0.34899999999999998"/>
    <n v="0.17499999999999999"/>
    <n v="8.2000000000000003E-2"/>
  </r>
  <r>
    <x v="15"/>
    <x v="0"/>
    <x v="71"/>
    <n v="0.77041999999999999"/>
    <n v="1.10395"/>
    <n v="0.57406999999999997"/>
    <n v="0.53205999999999998"/>
    <n v="0.47998000000000002"/>
    <n v="0.15445"/>
  </r>
  <r>
    <x v="15"/>
    <x v="1"/>
    <x v="72"/>
    <n v="0.85270000000000001"/>
    <n v="0.90835999999999995"/>
    <n v="0.49758999999999998"/>
    <n v="0.46073999999999998"/>
    <n v="0.48546"/>
    <n v="0.16159999999999999"/>
  </r>
  <r>
    <x v="15"/>
    <x v="2"/>
    <x v="73"/>
    <n v="0.88541638851165805"/>
    <n v="1.34012651443481"/>
    <n v="0.49587929248809798"/>
    <n v="0.50153768062591597"/>
    <n v="0.474054545164108"/>
    <n v="0.17338038980960799"/>
  </r>
  <r>
    <x v="15"/>
    <x v="3"/>
    <x v="74"/>
    <n v="0.79600000000000004"/>
    <n v="1.335"/>
    <n v="0.52700000000000002"/>
    <n v="0.54100000000000004"/>
    <n v="0.36399999999999999"/>
    <n v="0.17100000000000001"/>
  </r>
  <r>
    <x v="15"/>
    <x v="4"/>
    <x v="74"/>
    <n v="0.81299999999999994"/>
    <n v="1.321"/>
    <n v="0.60399999999999998"/>
    <n v="0.45700000000000002"/>
    <n v="0.37"/>
    <n v="0.16700000000000001"/>
  </r>
  <r>
    <x v="16"/>
    <x v="0"/>
    <x v="75"/>
    <n v="0.68132999999999999"/>
    <n v="0.97841"/>
    <n v="0.53920000000000001"/>
    <n v="0.57413999999999998"/>
    <n v="0.20535999999999999"/>
    <n v="8.7999999999999995E-2"/>
  </r>
  <r>
    <x v="16"/>
    <x v="1"/>
    <x v="76"/>
    <n v="0.79422000000000004"/>
    <n v="0.83779000000000003"/>
    <n v="0.46970000000000001"/>
    <n v="0.50961000000000001"/>
    <n v="0.21698000000000001"/>
    <n v="7.7460000000000001E-2"/>
  </r>
  <r>
    <x v="16"/>
    <x v="2"/>
    <x v="77"/>
    <n v="0.83375656604766801"/>
    <n v="1.2276190519332899"/>
    <n v="0.47363024950027499"/>
    <n v="0.55873292684555098"/>
    <n v="0.22556072473526001"/>
    <n v="6.0477726161479901E-2"/>
  </r>
  <r>
    <x v="16"/>
    <x v="3"/>
    <x v="78"/>
    <n v="0.751"/>
    <n v="1.2230000000000001"/>
    <n v="0.50800000000000001"/>
    <n v="0.60599999999999998"/>
    <n v="0.14099999999999999"/>
    <n v="5.3999999999999999E-2"/>
  </r>
  <r>
    <x v="16"/>
    <x v="4"/>
    <x v="79"/>
    <n v="0.77600000000000002"/>
    <n v="1.2090000000000001"/>
    <n v="0.70599999999999996"/>
    <n v="0.51100000000000001"/>
    <n v="0.13700000000000001"/>
    <n v="6.4000000000000001E-2"/>
  </r>
  <r>
    <x v="17"/>
    <x v="0"/>
    <x v="80"/>
    <n v="0.83223000000000003"/>
    <n v="0.91915999999999998"/>
    <n v="0.79081000000000001"/>
    <n v="9.2450000000000004E-2"/>
    <n v="0.24807999999999999"/>
    <n v="2.2699999999999999E-3"/>
  </r>
  <r>
    <x v="17"/>
    <x v="1"/>
    <x v="81"/>
    <n v="0.93383000000000005"/>
    <n v="0.64366999999999996"/>
    <n v="0.70765999999999996"/>
    <n v="9.511E-2"/>
    <n v="0.29888999999999999"/>
    <n v="0"/>
  </r>
  <r>
    <x v="17"/>
    <x v="2"/>
    <x v="82"/>
    <n v="0.98240941762924205"/>
    <n v="1.0693359375"/>
    <n v="0.705186307430267"/>
    <n v="0.204403176903725"/>
    <n v="0.32886749505996699"/>
    <n v="0"/>
  </r>
  <r>
    <x v="17"/>
    <x v="3"/>
    <x v="83"/>
    <n v="0.91500000000000004"/>
    <n v="1.0780000000000001"/>
    <n v="0.75800000000000001"/>
    <n v="0.28000000000000003"/>
    <n v="0.216"/>
    <n v="0"/>
  </r>
  <r>
    <x v="17"/>
    <x v="4"/>
    <x v="84"/>
    <n v="0.94499999999999995"/>
    <n v="1.212"/>
    <n v="0.84499999999999997"/>
    <n v="0.21199999999999999"/>
    <n v="0.26300000000000001"/>
    <n v="6.0000000000000001E-3"/>
  </r>
  <r>
    <x v="18"/>
    <x v="0"/>
    <x v="85"/>
    <n v="0.99355000000000004"/>
    <n v="1.1046400000000001"/>
    <n v="4.7759999999999997E-2"/>
    <n v="0.49495"/>
    <n v="0.10460999999999999"/>
    <n v="0.12474"/>
  </r>
  <r>
    <x v="18"/>
    <x v="1"/>
    <x v="86"/>
    <n v="1.09426"/>
    <n v="0.89185999999999999"/>
    <n v="0.34752"/>
    <n v="0.44089"/>
    <n v="0.12425"/>
    <n v="0.10768999999999999"/>
  </r>
  <r>
    <x v="18"/>
    <x v="2"/>
    <x v="87"/>
    <n v="1.1220941543579099"/>
    <n v="1.2215549945831301"/>
    <n v="0.34175550937652599"/>
    <n v="0.505196332931519"/>
    <n v="9.9348448216915103E-2"/>
    <n v="9.8583199083805098E-2"/>
  </r>
  <r>
    <x v="18"/>
    <x v="3"/>
    <x v="88"/>
    <n v="1.0169999999999999"/>
    <n v="1.1739999999999999"/>
    <n v="0.41699999999999998"/>
    <n v="0.55700000000000005"/>
    <n v="4.2000000000000003E-2"/>
    <n v="9.1999999999999998E-2"/>
  </r>
  <r>
    <x v="18"/>
    <x v="4"/>
    <x v="89"/>
    <n v="1.0409999999999999"/>
    <n v="1.145"/>
    <n v="0.53800000000000003"/>
    <n v="0.45500000000000002"/>
    <n v="2.5000000000000001E-2"/>
    <n v="0.1"/>
  </r>
  <r>
    <x v="19"/>
    <x v="0"/>
    <x v="90"/>
    <n v="0.98124"/>
    <n v="1.2328699999999999"/>
    <n v="0.69701999999999997"/>
    <n v="0.49048999999999998"/>
    <n v="0.14574000000000001"/>
    <n v="0.17521"/>
  </r>
  <r>
    <x v="19"/>
    <x v="1"/>
    <x v="91"/>
    <n v="1.08754"/>
    <n v="1.03938"/>
    <n v="0.61414999999999997"/>
    <n v="0.40425"/>
    <n v="0.15776000000000001"/>
    <n v="0.14166000000000001"/>
  </r>
  <r>
    <x v="19"/>
    <x v="2"/>
    <x v="92"/>
    <n v="1.1073532104492201"/>
    <n v="1.4313060045242301"/>
    <n v="0.61655235290527299"/>
    <n v="0.43745374679565402"/>
    <n v="0.16234989464283001"/>
    <n v="0.111092761158943"/>
  </r>
  <r>
    <x v="19"/>
    <x v="3"/>
    <x v="93"/>
    <n v="0.98599999999999999"/>
    <n v="1.474"/>
    <n v="0.67500000000000004"/>
    <n v="0.49299999999999999"/>
    <n v="0.11"/>
    <n v="8.7999999999999995E-2"/>
  </r>
  <r>
    <x v="19"/>
    <x v="4"/>
    <x v="94"/>
    <n v="1.004"/>
    <n v="1.4390000000000001"/>
    <n v="0.80200000000000005"/>
    <n v="0.39"/>
    <n v="9.9000000000000005E-2"/>
    <n v="8.5999999999999993E-2"/>
  </r>
  <r>
    <x v="20"/>
    <x v="0"/>
    <x v="95"/>
    <n v="1.0121599999999999"/>
    <n v="1.1061399999999999"/>
    <n v="0.76649"/>
    <n v="0.30586999999999998"/>
    <n v="0.11921"/>
    <n v="8.7200000000000003E-3"/>
  </r>
  <r>
    <x v="20"/>
    <x v="1"/>
    <x v="96"/>
    <n v="1.1130599999999999"/>
    <n v="0.92542000000000002"/>
    <n v="0.67806"/>
    <n v="0.21218999999999999"/>
    <n v="0.12792999999999999"/>
    <n v="6.1500000000000001E-3"/>
  </r>
  <r>
    <x v="20"/>
    <x v="2"/>
    <x v="97"/>
    <n v="1.1614590883255"/>
    <n v="1.4343794584274301"/>
    <n v="0.70821768045425404"/>
    <n v="0.289231717586517"/>
    <n v="0.11317769438028299"/>
    <n v="1.1051530949771401E-2"/>
  </r>
  <r>
    <x v="20"/>
    <x v="3"/>
    <x v="98"/>
    <n v="1.054"/>
    <n v="1.5149999999999999"/>
    <n v="0.71199999999999997"/>
    <n v="0.35899999999999999"/>
    <n v="6.4000000000000001E-2"/>
    <n v="8.9999999999999993E-3"/>
  </r>
  <r>
    <x v="20"/>
    <x v="4"/>
    <x v="99"/>
    <n v="1.0920000000000001"/>
    <n v="1.5129999999999999"/>
    <n v="0.81499999999999995"/>
    <n v="0.311"/>
    <n v="8.1000000000000003E-2"/>
    <n v="4.0000000000000001E-3"/>
  </r>
  <r>
    <x v="21"/>
    <x v="0"/>
    <x v="100"/>
    <n v="0.25812000000000002"/>
    <n v="0.85187999999999997"/>
    <n v="0.27124999999999999"/>
    <n v="0.39493"/>
    <n v="0.21747"/>
    <n v="0.12831999999999999"/>
  </r>
  <r>
    <x v="21"/>
    <x v="1"/>
    <x v="101"/>
    <n v="0.31995000000000001"/>
    <n v="0.63053999999999999"/>
    <n v="0.21296999999999999"/>
    <n v="0.3337"/>
    <n v="0.24353"/>
    <n v="0.12533"/>
  </r>
  <r>
    <x v="21"/>
    <x v="2"/>
    <x v="102"/>
    <n v="0.35022771358490001"/>
    <n v="1.04328000545502"/>
    <n v="0.21584425866603901"/>
    <n v="0.32436785101890597"/>
    <n v="0.25086468458175698"/>
    <n v="0.120328105986118"/>
  </r>
  <r>
    <x v="21"/>
    <x v="3"/>
    <x v="103"/>
    <n v="0.314"/>
    <n v="1.097"/>
    <n v="0.254"/>
    <n v="0.312"/>
    <n v="0.17499999999999999"/>
    <n v="0.128"/>
  </r>
  <r>
    <x v="21"/>
    <x v="4"/>
    <x v="104"/>
    <n v="0.33100000000000002"/>
    <n v="1.056"/>
    <n v="0.38"/>
    <n v="0.255"/>
    <n v="0.17699999999999999"/>
    <n v="0.113"/>
  </r>
  <r>
    <x v="22"/>
    <x v="0"/>
    <x v="105"/>
    <n v="1.5299999999999999E-2"/>
    <n v="0.41587000000000002"/>
    <n v="0.22395999999999999"/>
    <n v="0.11849999999999999"/>
    <n v="0.19727"/>
    <n v="0.10062"/>
  </r>
  <r>
    <x v="22"/>
    <x v="1"/>
    <x v="105"/>
    <n v="6.8309999999999996E-2"/>
    <n v="0.23441999999999999"/>
    <n v="0.15747"/>
    <n v="4.3200000000000002E-2"/>
    <n v="0.2029"/>
    <n v="9.4189999999999996E-2"/>
  </r>
  <r>
    <x v="22"/>
    <x v="2"/>
    <x v="106"/>
    <n v="9.1622568666934995E-2"/>
    <n v="0.62979358434677102"/>
    <n v="0.15161079168319699"/>
    <n v="5.9900753200054203E-2"/>
    <n v="0.204435184597969"/>
    <n v="8.4147945046424893E-2"/>
  </r>
  <r>
    <x v="22"/>
    <x v="3"/>
    <x v="105"/>
    <n v="9.0999999999999998E-2"/>
    <n v="0.627"/>
    <n v="0.14499999999999999"/>
    <n v="6.5000000000000002E-2"/>
    <n v="0.14899999999999999"/>
    <n v="7.5999999999999998E-2"/>
  </r>
  <r>
    <x v="22"/>
    <x v="4"/>
    <x v="107"/>
    <n v="4.5999999999999999E-2"/>
    <n v="0.44700000000000001"/>
    <n v="0.38"/>
    <n v="0.22"/>
    <n v="0.17599999999999999"/>
    <n v="0.18"/>
  </r>
  <r>
    <x v="23"/>
    <x v="0"/>
    <x v="108"/>
    <n v="0.46038000000000001"/>
    <n v="0.62736000000000003"/>
    <n v="0.61114000000000002"/>
    <n v="0.66246000000000005"/>
    <n v="0.40359"/>
    <n v="7.2470000000000007E-2"/>
  </r>
  <r>
    <x v="23"/>
    <x v="1"/>
    <x v="109"/>
    <n v="0.55603999999999998"/>
    <n v="0.53749999999999998"/>
    <n v="0.42493999999999998"/>
    <n v="0.58852000000000004"/>
    <n v="0.40339000000000003"/>
    <n v="8.0920000000000006E-2"/>
  </r>
  <r>
    <x v="23"/>
    <x v="2"/>
    <x v="110"/>
    <n v="0.601765096187592"/>
    <n v="1.0062383413314799"/>
    <n v="0.42978340387344399"/>
    <n v="0.63337582349777199"/>
    <n v="0.38592296838760398"/>
    <n v="6.8105950951576205E-2"/>
  </r>
  <r>
    <x v="23"/>
    <x v="3"/>
    <x v="111"/>
    <n v="0.54900000000000004"/>
    <n v="1.0880000000000001"/>
    <n v="0.45700000000000002"/>
    <n v="0.69599999999999995"/>
    <n v="0.25600000000000001"/>
    <n v="6.5000000000000002E-2"/>
  </r>
  <r>
    <x v="23"/>
    <x v="4"/>
    <x v="112"/>
    <n v="0.57399999999999995"/>
    <n v="1.1220000000000001"/>
    <n v="0.63700000000000001"/>
    <n v="0.60899999999999999"/>
    <n v="0.23200000000000001"/>
    <n v="6.2E-2"/>
  </r>
  <r>
    <x v="24"/>
    <x v="0"/>
    <x v="113"/>
    <n v="0.42249999999999999"/>
    <n v="0.88766999999999996"/>
    <n v="0.23402000000000001"/>
    <n v="0.49308999999999997"/>
    <n v="0.20618"/>
    <n v="5.7860000000000002E-2"/>
  </r>
  <r>
    <x v="24"/>
    <x v="1"/>
    <x v="114"/>
    <n v="0.52497000000000005"/>
    <n v="0.62541999999999998"/>
    <n v="0.12698000000000001"/>
    <n v="0.42736000000000002"/>
    <n v="0.2268"/>
    <n v="6.1260000000000002E-2"/>
  </r>
  <r>
    <x v="24"/>
    <x v="2"/>
    <x v="115"/>
    <n v="0.56430536508560203"/>
    <n v="0.94601821899414096"/>
    <n v="0.13289211690425901"/>
    <n v="0.43038874864578203"/>
    <n v="0.23629845678806299"/>
    <n v="5.1306631416082403E-2"/>
  </r>
  <r>
    <x v="24"/>
    <x v="3"/>
    <x v="116"/>
    <n v="0.53500000000000003"/>
    <n v="0.89100000000000001"/>
    <n v="0.182"/>
    <n v="0.45400000000000001"/>
    <n v="0.183"/>
    <n v="4.2999999999999997E-2"/>
  </r>
  <r>
    <x v="24"/>
    <x v="4"/>
    <x v="117"/>
    <n v="0.54900000000000004"/>
    <n v="0.91"/>
    <n v="0.33100000000000002"/>
    <n v="0.38100000000000001"/>
    <n v="0.187"/>
    <n v="3.6999999999999998E-2"/>
  </r>
  <r>
    <x v="25"/>
    <x v="0"/>
    <x v="118"/>
    <n v="1.32629"/>
    <n v="1.3226100000000001"/>
    <n v="0.90563000000000005"/>
    <n v="0.63297000000000003"/>
    <n v="0.45811000000000002"/>
    <n v="0.32956999999999997"/>
  </r>
  <r>
    <x v="25"/>
    <x v="1"/>
    <x v="119"/>
    <n v="1.44015"/>
    <n v="1.0961000000000001"/>
    <n v="0.8276"/>
    <n v="0.57369999999999999"/>
    <n v="0.44834000000000002"/>
    <n v="0.31329000000000001"/>
  </r>
  <r>
    <x v="25"/>
    <x v="2"/>
    <x v="120"/>
    <n v="1.47920441627502"/>
    <n v="1.4813489913940401"/>
    <n v="0.83455765247345004"/>
    <n v="0.61110091209411599"/>
    <n v="0.43553972244262701"/>
    <n v="0.287371516227722"/>
  </r>
  <r>
    <x v="25"/>
    <x v="3"/>
    <x v="121"/>
    <n v="1.33"/>
    <n v="1.532"/>
    <n v="0.89600000000000002"/>
    <n v="0.65300000000000002"/>
    <n v="0.32100000000000001"/>
    <n v="0.29099999999999998"/>
  </r>
  <r>
    <x v="25"/>
    <x v="4"/>
    <x v="122"/>
    <n v="1.365"/>
    <n v="1.5049999999999999"/>
    <n v="1.0389999999999999"/>
    <n v="0.58399999999999996"/>
    <n v="0.28499999999999998"/>
    <n v="0.308"/>
  </r>
  <r>
    <x v="26"/>
    <x v="0"/>
    <x v="123"/>
    <n v="7.85E-2"/>
    <n v="0"/>
    <n v="6.6989999999999994E-2"/>
    <n v="0.48879"/>
    <n v="0.23835000000000001"/>
    <n v="8.2890000000000005E-2"/>
  </r>
  <r>
    <x v="26"/>
    <x v="2"/>
    <x v="124"/>
    <n v="0"/>
    <n v="0"/>
    <n v="1.8772685900330498E-2"/>
    <n v="0.270842045545578"/>
    <n v="0.28087648749351501"/>
    <n v="5.6565076112747199E-2"/>
  </r>
  <r>
    <x v="26"/>
    <x v="3"/>
    <x v="125"/>
    <n v="2.4E-2"/>
    <n v="0"/>
    <n v="0.01"/>
    <n v="0.30499999999999999"/>
    <n v="0.218"/>
    <n v="3.7999999999999999E-2"/>
  </r>
  <r>
    <x v="26"/>
    <x v="4"/>
    <x v="125"/>
    <n v="2.5999999999999999E-2"/>
    <n v="0"/>
    <n v="0.105"/>
    <n v="0.22500000000000001"/>
    <n v="0.23499999999999999"/>
    <n v="3.5000000000000003E-2"/>
  </r>
  <r>
    <x v="27"/>
    <x v="0"/>
    <x v="126"/>
    <n v="0.34193000000000001"/>
    <n v="0.76061999999999996"/>
    <n v="0.15010000000000001"/>
    <n v="0.23501"/>
    <n v="0.18386"/>
    <n v="5.2690000000000001E-2"/>
  </r>
  <r>
    <x v="27"/>
    <x v="1"/>
    <x v="127"/>
    <n v="0.42214000000000002"/>
    <n v="0.63178000000000001"/>
    <n v="3.8240000000000003E-2"/>
    <n v="0.12806999999999999"/>
    <n v="0.18667"/>
    <n v="4.9520000000000002E-2"/>
  </r>
  <r>
    <x v="27"/>
    <x v="2"/>
    <x v="128"/>
    <n v="0.43801298737525901"/>
    <n v="0.95385587215423595"/>
    <n v="4.1134715080261203E-2"/>
    <n v="0.16234202682971999"/>
    <n v="0.21611385047435799"/>
    <n v="5.3581882268190398E-2"/>
  </r>
  <r>
    <x v="27"/>
    <x v="3"/>
    <x v="129"/>
    <n v="0.35799999999999998"/>
    <n v="0.90700000000000003"/>
    <n v="5.2999999999999999E-2"/>
    <n v="0.189"/>
    <n v="0.18099999999999999"/>
    <n v="0.06"/>
  </r>
  <r>
    <x v="27"/>
    <x v="4"/>
    <x v="24"/>
    <n v="0.35"/>
    <n v="0.76600000000000001"/>
    <n v="0.192"/>
    <n v="0.17399999999999999"/>
    <n v="0.19800000000000001"/>
    <n v="7.8E-2"/>
  </r>
  <r>
    <x v="28"/>
    <x v="0"/>
    <x v="130"/>
    <n v="1.1071500000000001"/>
    <n v="1.1244700000000001"/>
    <n v="0.85857000000000006"/>
    <n v="0.44131999999999999"/>
    <n v="0.33362999999999998"/>
    <n v="0.12869"/>
  </r>
  <r>
    <x v="28"/>
    <x v="1"/>
    <x v="131"/>
    <n v="1.2166999999999999"/>
    <n v="0.90586999999999995"/>
    <n v="0.81882999999999995"/>
    <n v="0.37789"/>
    <n v="0.31595000000000001"/>
    <n v="0.11451"/>
  </r>
  <r>
    <x v="28"/>
    <x v="2"/>
    <x v="132"/>
    <n v="1.25278460979462"/>
    <n v="1.28402495384216"/>
    <n v="0.81947970390319802"/>
    <n v="0.37689527869224498"/>
    <n v="0.32666242122650102"/>
    <n v="8.2287982106208801E-2"/>
  </r>
  <r>
    <x v="28"/>
    <x v="3"/>
    <x v="133"/>
    <n v="1.131"/>
    <n v="1.331"/>
    <n v="0.80800000000000005"/>
    <n v="0.43099999999999999"/>
    <n v="0.19700000000000001"/>
    <n v="6.0999999999999999E-2"/>
  </r>
  <r>
    <x v="28"/>
    <x v="4"/>
    <x v="134"/>
    <n v="1.159"/>
    <n v="1.369"/>
    <n v="0.92"/>
    <n v="0.35699999999999998"/>
    <n v="0.187"/>
    <n v="5.6000000000000001E-2"/>
  </r>
  <r>
    <x v="29"/>
    <x v="0"/>
    <x v="135"/>
    <n v="0.89012000000000002"/>
    <n v="0.94674999999999998"/>
    <n v="0.81657999999999997"/>
    <n v="0.51697000000000004"/>
    <n v="8.1850000000000006E-2"/>
    <n v="2.7810000000000001E-2"/>
  </r>
  <r>
    <x v="29"/>
    <x v="1"/>
    <x v="136"/>
    <n v="1.0278"/>
    <n v="0.79381000000000002"/>
    <n v="0.73560999999999999"/>
    <n v="0.44012000000000001"/>
    <n v="4.9590000000000002E-2"/>
    <n v="2.7449999999999999E-2"/>
  </r>
  <r>
    <x v="29"/>
    <x v="2"/>
    <x v="137"/>
    <n v="1.08116579055786"/>
    <n v="1.1608374118804901"/>
    <n v="0.74141550064086903"/>
    <n v="0.47278770804405201"/>
    <n v="2.8806841000914601E-2"/>
    <n v="2.2794274613261199E-2"/>
  </r>
  <r>
    <x v="29"/>
    <x v="3"/>
    <x v="138"/>
    <n v="0.98899999999999999"/>
    <n v="1.1419999999999999"/>
    <n v="0.79900000000000004"/>
    <n v="0.59699999999999998"/>
    <n v="2.9000000000000001E-2"/>
    <n v="0.10299999999999999"/>
  </r>
  <r>
    <x v="29"/>
    <x v="4"/>
    <x v="139"/>
    <n v="1.0289999999999999"/>
    <n v="1.125"/>
    <n v="0.89300000000000002"/>
    <n v="0.52100000000000002"/>
    <n v="5.8000000000000003E-2"/>
    <n v="0.1"/>
  </r>
  <r>
    <x v="30"/>
    <x v="0"/>
    <x v="140"/>
    <n v="0.91861000000000004"/>
    <n v="1.2401800000000001"/>
    <n v="0.69077"/>
    <n v="0.53466000000000002"/>
    <n v="0.18401000000000001"/>
    <n v="5.1200000000000002E-2"/>
  </r>
  <r>
    <x v="30"/>
    <x v="1"/>
    <x v="141"/>
    <n v="1.0303199999999999"/>
    <n v="1.02169"/>
    <n v="0.59658999999999995"/>
    <n v="0.44735000000000003"/>
    <n v="0.15626000000000001"/>
    <n v="5.3990000000000003E-2"/>
  </r>
  <r>
    <x v="30"/>
    <x v="2"/>
    <x v="142"/>
    <n v="1.07062232494354"/>
    <n v="1.4021829366684"/>
    <n v="0.59502792358398404"/>
    <n v="0.47748741507530201"/>
    <n v="0.149014472961426"/>
    <n v="4.6668741852045101E-2"/>
  </r>
  <r>
    <x v="30"/>
    <x v="3"/>
    <x v="143"/>
    <n v="0.96"/>
    <n v="1.4390000000000001"/>
    <n v="0.63500000000000001"/>
    <n v="0.53100000000000003"/>
    <n v="9.9000000000000005E-2"/>
    <n v="3.9E-2"/>
  </r>
  <r>
    <x v="30"/>
    <x v="4"/>
    <x v="144"/>
    <n v="0.98499999999999999"/>
    <n v="1.41"/>
    <n v="0.84099999999999997"/>
    <n v="0.47"/>
    <n v="9.9000000000000005E-2"/>
    <n v="3.4000000000000002E-2"/>
  </r>
  <r>
    <x v="31"/>
    <x v="0"/>
    <x v="145"/>
    <n v="0.23905999999999999"/>
    <n v="0.79273000000000005"/>
    <n v="0.36314999999999997"/>
    <n v="0.22917000000000001"/>
    <n v="0.17441000000000001"/>
    <n v="0.19900000000000001"/>
  </r>
  <r>
    <x v="31"/>
    <x v="1"/>
    <x v="145"/>
    <n v="0.27509"/>
    <n v="0.60323000000000004"/>
    <n v="0.29981000000000002"/>
    <n v="0.15412000000000001"/>
    <n v="0.1827"/>
    <n v="0.18437000000000001"/>
  </r>
  <r>
    <x v="31"/>
    <x v="4"/>
    <x v="146"/>
    <n v="0.27400000000000002"/>
    <n v="0.75700000000000001"/>
    <n v="0.505"/>
    <n v="0.14199999999999999"/>
    <n v="0.27500000000000002"/>
    <n v="7.8E-2"/>
  </r>
  <r>
    <x v="32"/>
    <x v="0"/>
    <x v="147"/>
    <n v="0.67866000000000004"/>
    <n v="0.66290000000000004"/>
    <n v="0.31051000000000001"/>
    <n v="0.41465999999999997"/>
    <n v="0.12388"/>
    <n v="0.11686000000000001"/>
  </r>
  <r>
    <x v="32"/>
    <x v="1"/>
    <x v="148"/>
    <n v="0.77109000000000005"/>
    <n v="0.47799000000000003"/>
    <n v="0.28211999999999998"/>
    <n v="0.37938"/>
    <n v="0.12077"/>
    <n v="9.7530000000000006E-2"/>
  </r>
  <r>
    <x v="32"/>
    <x v="2"/>
    <x v="149"/>
    <n v="0.80896425247192405"/>
    <n v="0.83204436302185103"/>
    <n v="0.28995743393897999"/>
    <n v="0.43502587080001798"/>
    <n v="0.120852127671242"/>
    <n v="7.9618133604526506E-2"/>
  </r>
  <r>
    <x v="32"/>
    <x v="3"/>
    <x v="28"/>
    <n v="0.68200000000000005"/>
    <n v="0.81100000000000005"/>
    <n v="0.34300000000000003"/>
    <n v="0.51400000000000001"/>
    <n v="9.0999999999999998E-2"/>
    <n v="7.6999999999999999E-2"/>
  </r>
  <r>
    <x v="32"/>
    <x v="4"/>
    <x v="150"/>
    <n v="0.67300000000000004"/>
    <n v="0.79900000000000004"/>
    <n v="0.50800000000000001"/>
    <n v="0.372"/>
    <n v="0.105"/>
    <n v="9.2999999999999999E-2"/>
  </r>
  <r>
    <x v="33"/>
    <x v="0"/>
    <x v="151"/>
    <n v="0"/>
    <n v="1.0012000000000001"/>
    <n v="9.8059999999999994E-2"/>
    <n v="0.22605"/>
    <n v="0.24834000000000001"/>
    <n v="7.6249999999999998E-2"/>
  </r>
  <r>
    <x v="33"/>
    <x v="1"/>
    <x v="152"/>
    <n v="5.6610000000000001E-2"/>
    <n v="0.80676000000000003"/>
    <n v="0.188"/>
    <n v="0.15601999999999999"/>
    <n v="0.25457999999999997"/>
    <n v="6.0749999999999998E-2"/>
  </r>
  <r>
    <x v="33"/>
    <x v="2"/>
    <x v="153"/>
    <n v="9.2102348804473905E-2"/>
    <n v="1.2290234565734901"/>
    <n v="0.191407024860382"/>
    <n v="0.23596134781837499"/>
    <n v="0.246455833315849"/>
    <n v="6.02413564920425E-2"/>
  </r>
  <r>
    <x v="33"/>
    <x v="3"/>
    <x v="154"/>
    <n v="6.9000000000000006E-2"/>
    <n v="1.1359999999999999"/>
    <n v="0.20399999999999999"/>
    <n v="0.312"/>
    <n v="0.19700000000000001"/>
    <n v="5.1999999999999998E-2"/>
  </r>
  <r>
    <x v="33"/>
    <x v="4"/>
    <x v="155"/>
    <n v="9.4E-2"/>
    <n v="1.125"/>
    <n v="0.35699999999999998"/>
    <n v="0.26900000000000002"/>
    <n v="0.21199999999999999"/>
    <n v="5.2999999999999999E-2"/>
  </r>
  <r>
    <x v="34"/>
    <x v="0"/>
    <x v="156"/>
    <n v="0.95577999999999996"/>
    <n v="1.2378800000000001"/>
    <n v="0.86026999999999998"/>
    <n v="0.63375999999999999"/>
    <n v="0.25496999999999997"/>
    <n v="0.10582999999999999"/>
  </r>
  <r>
    <x v="34"/>
    <x v="1"/>
    <x v="157"/>
    <n v="1.0687899999999999"/>
    <n v="1.02152"/>
    <n v="0.76146000000000003"/>
    <n v="0.55225000000000002"/>
    <n v="0.22553000000000001"/>
    <n v="0.10546999999999999"/>
  </r>
  <r>
    <x v="34"/>
    <x v="2"/>
    <x v="158"/>
    <n v="1.1097062826156601"/>
    <n v="1.41640365123749"/>
    <n v="0.75950926542282104"/>
    <n v="0.58013164997100797"/>
    <n v="0.21461322903633101"/>
    <n v="0.100106589496136"/>
  </r>
  <r>
    <x v="34"/>
    <x v="3"/>
    <x v="159"/>
    <n v="1.01"/>
    <n v="1.4590000000000001"/>
    <n v="0.81699999999999995"/>
    <n v="0.63200000000000001"/>
    <n v="0.14299999999999999"/>
    <n v="0.10100000000000001"/>
  </r>
  <r>
    <x v="34"/>
    <x v="4"/>
    <x v="160"/>
    <n v="1.034"/>
    <n v="1.4410000000000001"/>
    <n v="0.96299999999999997"/>
    <n v="0.55800000000000005"/>
    <n v="0.14399999999999999"/>
    <n v="9.2999999999999999E-2"/>
  </r>
  <r>
    <x v="35"/>
    <x v="0"/>
    <x v="161"/>
    <n v="1.0825400000000001"/>
    <n v="0.79623999999999995"/>
    <n v="0.78805000000000003"/>
    <n v="0.25883"/>
    <n v="5.4440000000000002E-2"/>
    <n v="2.4299999999999999E-2"/>
  </r>
  <r>
    <x v="35"/>
    <x v="1"/>
    <x v="162"/>
    <n v="1.18649"/>
    <n v="0.60809000000000002"/>
    <n v="0.70523999999999998"/>
    <n v="0.23907"/>
    <n v="0.18434"/>
    <n v="4.002E-2"/>
  </r>
  <r>
    <x v="35"/>
    <x v="2"/>
    <x v="163"/>
    <n v="1.22255623340607"/>
    <n v="0.96798300743103005"/>
    <n v="0.701288521289825"/>
    <n v="0.25577229261398299"/>
    <n v="0.24800297617912301"/>
    <n v="4.3103110045194598E-2"/>
  </r>
  <r>
    <x v="35"/>
    <x v="3"/>
    <x v="164"/>
    <n v="1.115"/>
    <n v="1.161"/>
    <n v="0.73699999999999999"/>
    <n v="0.38"/>
    <n v="0.12"/>
    <n v="3.9E-2"/>
  </r>
  <r>
    <x v="35"/>
    <x v="4"/>
    <x v="165"/>
    <n v="1.155"/>
    <n v="1.266"/>
    <n v="0.91400000000000003"/>
    <n v="0.29599999999999999"/>
    <n v="0.11899999999999999"/>
    <n v="2.1999999999999999E-2"/>
  </r>
  <r>
    <x v="36"/>
    <x v="0"/>
    <x v="166"/>
    <n v="1.2081299999999999"/>
    <n v="0.89317999999999997"/>
    <n v="0.92356000000000005"/>
    <n v="0.40672000000000003"/>
    <n v="0.30637999999999999"/>
    <n v="6.1460000000000001E-2"/>
  </r>
  <r>
    <x v="36"/>
    <x v="1"/>
    <x v="167"/>
    <n v="1.31857"/>
    <n v="0.70696999999999999"/>
    <n v="0.8488"/>
    <n v="0.29507"/>
    <n v="0.27905999999999997"/>
    <n v="5.228E-2"/>
  </r>
  <r>
    <x v="36"/>
    <x v="2"/>
    <x v="168"/>
    <n v="1.3559380769729601"/>
    <n v="1.13136327266693"/>
    <n v="0.84471470117569003"/>
    <n v="0.35511153936386097"/>
    <n v="0.27125430107116699"/>
    <n v="4.1237976402044303E-2"/>
  </r>
  <r>
    <x v="36"/>
    <x v="3"/>
    <x v="169"/>
    <n v="1.2290000000000001"/>
    <n v="1.1910000000000001"/>
    <n v="0.90900000000000003"/>
    <n v="0.42299999999999999"/>
    <n v="0.20200000000000001"/>
    <n v="3.5000000000000003E-2"/>
  </r>
  <r>
    <x v="36"/>
    <x v="4"/>
    <x v="170"/>
    <n v="1.2629999999999999"/>
    <n v="1.2230000000000001"/>
    <n v="1.042"/>
    <n v="0.40600000000000003"/>
    <n v="0.19"/>
    <n v="4.1000000000000002E-2"/>
  </r>
  <r>
    <x v="37"/>
    <x v="0"/>
    <x v="171"/>
    <n v="1.1789799999999999"/>
    <n v="1.2064299999999999"/>
    <n v="0.84482999999999997"/>
    <n v="0.46364"/>
    <n v="0.10686"/>
    <n v="2.6519999999999998E-2"/>
  </r>
  <r>
    <x v="37"/>
    <x v="1"/>
    <x v="172"/>
    <n v="1.30915"/>
    <n v="1.00793"/>
    <n v="0.76375999999999999"/>
    <n v="0.41417999999999999"/>
    <n v="9.9290000000000003E-2"/>
    <n v="3.986E-2"/>
  </r>
  <r>
    <x v="37"/>
    <x v="2"/>
    <x v="173"/>
    <n v="1.35268235206604"/>
    <n v="1.4338852167129501"/>
    <n v="0.75444400310516402"/>
    <n v="0.49094617366790799"/>
    <n v="8.8106758892536205E-2"/>
    <n v="3.6872927099466303E-2"/>
  </r>
  <r>
    <x v="37"/>
    <x v="3"/>
    <x v="174"/>
    <n v="1.2330000000000001"/>
    <n v="1.4890000000000001"/>
    <n v="0.85399999999999998"/>
    <n v="0.54300000000000004"/>
    <n v="6.4000000000000001E-2"/>
    <n v="3.4000000000000002E-2"/>
  </r>
  <r>
    <x v="37"/>
    <x v="4"/>
    <x v="175"/>
    <n v="1.2689999999999999"/>
    <n v="1.4870000000000001"/>
    <n v="0.92"/>
    <n v="0.45700000000000002"/>
    <n v="4.5999999999999999E-2"/>
    <n v="3.5999999999999997E-2"/>
  </r>
  <r>
    <x v="38"/>
    <x v="0"/>
    <x v="176"/>
    <n v="1.32548"/>
    <n v="1.3605799999999999"/>
    <n v="0.87463999999999997"/>
    <n v="0.64937999999999996"/>
    <n v="0.34139000000000003"/>
    <n v="0.48357"/>
  </r>
  <r>
    <x v="38"/>
    <x v="1"/>
    <x v="177"/>
    <n v="1.4417800000000001"/>
    <n v="1.16374"/>
    <n v="0.79503999999999997"/>
    <n v="0.57940999999999998"/>
    <n v="0.36170999999999998"/>
    <n v="0.44452999999999998"/>
  </r>
  <r>
    <x v="38"/>
    <x v="2"/>
    <x v="178"/>
    <n v="1.48238301277161"/>
    <n v="1.5511215925216699"/>
    <n v="0.79256552457809404"/>
    <n v="0.62600672245025601"/>
    <n v="0.35528048872947698"/>
    <n v="0.40077006816864003"/>
  </r>
  <r>
    <x v="38"/>
    <x v="3"/>
    <x v="179"/>
    <n v="1.351"/>
    <n v="1.59"/>
    <n v="0.86799999999999999"/>
    <n v="0.68300000000000005"/>
    <n v="0.28399999999999997"/>
    <n v="0.40799999999999997"/>
  </r>
  <r>
    <x v="38"/>
    <x v="4"/>
    <x v="180"/>
    <n v="1.383"/>
    <n v="1.573"/>
    <n v="0.996"/>
    <n v="0.59199999999999997"/>
    <n v="0.252"/>
    <n v="0.41"/>
  </r>
  <r>
    <x v="39"/>
    <x v="0"/>
    <x v="181"/>
    <n v="0.44024999999999997"/>
    <n v="0.59206999999999999"/>
    <n v="0.36291000000000001"/>
    <n v="0.46073999999999998"/>
    <n v="0.18093000000000001"/>
    <n v="0.28105000000000002"/>
  </r>
  <r>
    <x v="40"/>
    <x v="0"/>
    <x v="182"/>
    <n v="0.89537"/>
    <n v="1.1720200000000001"/>
    <n v="0.66825000000000001"/>
    <n v="0.57672000000000001"/>
    <n v="0.21684"/>
    <n v="0.14233999999999999"/>
  </r>
  <r>
    <x v="40"/>
    <x v="1"/>
    <x v="183"/>
    <n v="1.0278700000000001"/>
    <n v="0.99495999999999996"/>
    <n v="0.57669000000000004"/>
    <n v="0.52259"/>
    <n v="0.21285999999999999"/>
    <n v="0.12372"/>
  </r>
  <r>
    <x v="40"/>
    <x v="2"/>
    <x v="184"/>
    <n v="1.07937383651733"/>
    <n v="1.40241670608521"/>
    <n v="0.57487374544143699"/>
    <n v="0.55258983373642001"/>
    <n v="0.18696784973144501"/>
    <n v="0.113945253193378"/>
  </r>
  <r>
    <x v="40"/>
    <x v="3"/>
    <x v="185"/>
    <n v="0.98199999999999998"/>
    <n v="1.4410000000000001"/>
    <n v="0.61399999999999999"/>
    <n v="0.57799999999999996"/>
    <n v="0.12"/>
    <n v="0.106"/>
  </r>
  <r>
    <x v="40"/>
    <x v="4"/>
    <x v="186"/>
    <n v="1.0149999999999999"/>
    <n v="1.401"/>
    <n v="0.77900000000000003"/>
    <n v="0.497"/>
    <n v="0.113"/>
    <n v="0.10100000000000001"/>
  </r>
  <r>
    <x v="41"/>
    <x v="0"/>
    <x v="187"/>
    <n v="0.86402000000000001"/>
    <n v="0.99902999999999997"/>
    <n v="0.79074999999999995"/>
    <n v="0.48574000000000001"/>
    <n v="0.11541"/>
    <n v="0.18090000000000001"/>
  </r>
  <r>
    <x v="41"/>
    <x v="1"/>
    <x v="188"/>
    <n v="0.97306000000000004"/>
    <n v="0.85973999999999995"/>
    <n v="0.68613000000000002"/>
    <n v="0.4027"/>
    <n v="0.10074"/>
    <n v="0.18037"/>
  </r>
  <r>
    <x v="41"/>
    <x v="2"/>
    <x v="189"/>
    <n v="1.00082039833069"/>
    <n v="1.2861688137054399"/>
    <n v="0.68563622236251798"/>
    <n v="0.45519819855690002"/>
    <n v="0.150112465023994"/>
    <n v="0.140134647488594"/>
  </r>
  <r>
    <x v="41"/>
    <x v="3"/>
    <x v="190"/>
    <n v="0.88900000000000001"/>
    <n v="1.33"/>
    <n v="0.73599999999999999"/>
    <n v="0.55600000000000005"/>
    <n v="0.114"/>
    <n v="0.12"/>
  </r>
  <r>
    <x v="41"/>
    <x v="4"/>
    <x v="191"/>
    <n v="0.91200000000000003"/>
    <n v="1.3120000000000001"/>
    <n v="0.86799999999999999"/>
    <n v="0.498"/>
    <n v="0.126"/>
    <n v="8.6999999999999994E-2"/>
  </r>
  <r>
    <x v="42"/>
    <x v="0"/>
    <x v="192"/>
    <n v="0.88180000000000003"/>
    <n v="0.747"/>
    <n v="0.61712"/>
    <n v="0.17288000000000001"/>
    <n v="0.11291"/>
    <n v="6.3240000000000005E-2"/>
  </r>
  <r>
    <x v="42"/>
    <x v="1"/>
    <x v="193"/>
    <n v="0.95394999999999996"/>
    <n v="0.49813000000000002"/>
    <n v="0.52115999999999996"/>
    <n v="0.18847"/>
    <n v="0.12706000000000001"/>
    <n v="0.10392999999999999"/>
  </r>
  <r>
    <x v="42"/>
    <x v="2"/>
    <x v="194"/>
    <n v="0.989701807498932"/>
    <n v="0.99747139215469405"/>
    <n v="0.52018725872039795"/>
    <n v="0.282110154628754"/>
    <n v="0.12863144278526301"/>
    <n v="0.114381365478039"/>
  </r>
  <r>
    <x v="42"/>
    <x v="3"/>
    <x v="195"/>
    <n v="0.88500000000000001"/>
    <n v="1.0249999999999999"/>
    <n v="0.55300000000000005"/>
    <n v="0.312"/>
    <n v="9.1999999999999998E-2"/>
    <n v="0.107"/>
  </r>
  <r>
    <x v="42"/>
    <x v="4"/>
    <x v="196"/>
    <n v="0.91300000000000003"/>
    <n v="1.0389999999999999"/>
    <n v="0.64400000000000002"/>
    <n v="0.24099999999999999"/>
    <n v="7.5999999999999998E-2"/>
    <n v="6.7000000000000004E-2"/>
  </r>
  <r>
    <x v="43"/>
    <x v="0"/>
    <x v="197"/>
    <n v="0.76454"/>
    <n v="1.0250699999999999"/>
    <n v="0.67737000000000003"/>
    <n v="0.40350000000000003"/>
    <n v="0.10692"/>
    <n v="0.11776"/>
  </r>
  <r>
    <x v="43"/>
    <x v="1"/>
    <x v="198"/>
    <n v="0.87370000000000003"/>
    <n v="0.80974999999999997"/>
    <n v="0.59599999999999997"/>
    <n v="0.37269000000000002"/>
    <n v="8.8770000000000002E-2"/>
    <n v="0.10613"/>
  </r>
  <r>
    <x v="43"/>
    <x v="2"/>
    <x v="199"/>
    <n v="0.909784495830536"/>
    <n v="1.1821250915527299"/>
    <n v="0.59601855278015103"/>
    <n v="0.43245252966880798"/>
    <n v="7.8257985413074493E-2"/>
    <n v="8.9980959892272894E-2"/>
  </r>
  <r>
    <x v="43"/>
    <x v="3"/>
    <x v="200"/>
    <n v="0.80600000000000005"/>
    <n v="1.2310000000000001"/>
    <n v="0.63900000000000001"/>
    <n v="0.46100000000000002"/>
    <n v="6.5000000000000002E-2"/>
    <n v="8.2000000000000003E-2"/>
  </r>
  <r>
    <x v="43"/>
    <x v="4"/>
    <x v="201"/>
    <n v="0.79400000000000004"/>
    <n v="1.242"/>
    <n v="0.78900000000000003"/>
    <n v="0.43"/>
    <n v="9.2999999999999999E-2"/>
    <n v="7.3999999999999996E-2"/>
  </r>
  <r>
    <x v="44"/>
    <x v="0"/>
    <x v="202"/>
    <n v="1.15174"/>
    <n v="1.2279100000000001"/>
    <n v="0.77361000000000002"/>
    <n v="0.44888"/>
    <n v="8.6800000000000002E-2"/>
    <n v="0.15184"/>
  </r>
  <r>
    <x v="44"/>
    <x v="1"/>
    <x v="203"/>
    <n v="1.2796400000000001"/>
    <n v="1.0516300000000001"/>
    <n v="0.68098000000000003"/>
    <n v="0.41510999999999998"/>
    <n v="8.4229999999999999E-2"/>
    <n v="0.18518999999999999"/>
  </r>
  <r>
    <x v="44"/>
    <x v="2"/>
    <x v="204"/>
    <n v="1.32087934017181"/>
    <n v="1.4766710996627801"/>
    <n v="0.695168316364288"/>
    <n v="0.479131430387497"/>
    <n v="9.8890811204910306E-2"/>
    <n v="0.183248922228813"/>
  </r>
  <r>
    <x v="44"/>
    <x v="3"/>
    <x v="205"/>
    <n v="1.2"/>
    <n v="1.532"/>
    <n v="0.73699999999999999"/>
    <n v="0.55300000000000005"/>
    <n v="8.5999999999999993E-2"/>
    <n v="0.17399999999999999"/>
  </r>
  <r>
    <x v="44"/>
    <x v="4"/>
    <x v="206"/>
    <n v="1.2370000000000001"/>
    <n v="1.528"/>
    <n v="0.874"/>
    <n v="0.495"/>
    <n v="0.10299999999999999"/>
    <n v="0.161"/>
  </r>
  <r>
    <x v="45"/>
    <x v="0"/>
    <x v="207"/>
    <n v="0.19073000000000001"/>
    <n v="0.60406000000000004"/>
    <n v="0.44055"/>
    <n v="0.4345"/>
    <n v="0.24324999999999999"/>
    <n v="0.15048"/>
  </r>
  <r>
    <x v="45"/>
    <x v="1"/>
    <x v="208"/>
    <n v="0.29282999999999998"/>
    <n v="0.37931999999999999"/>
    <n v="0.34577999999999998"/>
    <n v="0.36703000000000002"/>
    <n v="0.29521999999999998"/>
    <n v="0.17169999999999999"/>
  </r>
  <r>
    <x v="45"/>
    <x v="2"/>
    <x v="209"/>
    <n v="0.33923384547233598"/>
    <n v="0.86466920375823997"/>
    <n v="0.35340970754623402"/>
    <n v="0.40884274244308499"/>
    <n v="0.31265074014663702"/>
    <n v="0.16545571386814101"/>
  </r>
  <r>
    <x v="45"/>
    <x v="3"/>
    <x v="24"/>
    <n v="0.308"/>
    <n v="0.95"/>
    <n v="0.39100000000000001"/>
    <n v="0.45200000000000001"/>
    <n v="0.22"/>
    <n v="0.14599999999999999"/>
  </r>
  <r>
    <x v="45"/>
    <x v="4"/>
    <x v="210"/>
    <n v="0.33600000000000002"/>
    <n v="1.0329999999999999"/>
    <n v="0.53200000000000003"/>
    <n v="0.34399999999999997"/>
    <n v="0.20899999999999999"/>
    <n v="0.1"/>
  </r>
  <r>
    <x v="46"/>
    <x v="0"/>
    <x v="211"/>
    <n v="1.2902499999999999"/>
    <n v="1.31826"/>
    <n v="0.88910999999999996"/>
    <n v="0.64168999999999998"/>
    <n v="0.23351"/>
    <n v="0.41371999999999998"/>
  </r>
  <r>
    <x v="46"/>
    <x v="1"/>
    <x v="212"/>
    <n v="1.40598"/>
    <n v="1.1346400000000001"/>
    <n v="0.81091000000000002"/>
    <n v="0.57103999999999999"/>
    <n v="0.25491999999999998"/>
    <n v="0.41004000000000002"/>
  </r>
  <r>
    <x v="46"/>
    <x v="2"/>
    <x v="213"/>
    <n v="1.4435719251632699"/>
    <n v="1.5402467250823999"/>
    <n v="0.80915766954421997"/>
    <n v="0.61795085668563798"/>
    <n v="0.24548277258873"/>
    <n v="0.38261154294013999"/>
  </r>
  <r>
    <x v="46"/>
    <x v="3"/>
    <x v="214"/>
    <n v="1.3049999999999999"/>
    <n v="1.5920000000000001"/>
    <n v="0.874"/>
    <n v="0.68100000000000005"/>
    <n v="0.20200000000000001"/>
    <n v="0.39300000000000002"/>
  </r>
  <r>
    <x v="46"/>
    <x v="4"/>
    <x v="215"/>
    <n v="1.34"/>
    <n v="1.587"/>
    <n v="0.98599999999999999"/>
    <n v="0.59599999999999997"/>
    <n v="0.153"/>
    <n v="0.39300000000000002"/>
  </r>
  <r>
    <x v="47"/>
    <x v="0"/>
    <x v="216"/>
    <n v="1.2777799999999999"/>
    <n v="1.2603800000000001"/>
    <n v="0.94579000000000002"/>
    <n v="0.55010999999999999"/>
    <n v="0.12332"/>
    <n v="0.20646"/>
  </r>
  <r>
    <x v="47"/>
    <x v="1"/>
    <x v="217"/>
    <n v="1.3948799999999999"/>
    <n v="1.00508"/>
    <n v="0.83794999999999997"/>
    <n v="0.46561999999999998"/>
    <n v="0.1216"/>
    <n v="0.17807999999999999"/>
  </r>
  <r>
    <x v="47"/>
    <x v="2"/>
    <x v="218"/>
    <n v="1.4309234619140601"/>
    <n v="1.3877768516540501"/>
    <n v="0.844465851783752"/>
    <n v="0.47022211551666299"/>
    <n v="0.12976230680942499"/>
    <n v="0.17250242829322801"/>
  </r>
  <r>
    <x v="47"/>
    <x v="3"/>
    <x v="219"/>
    <n v="1.2929999999999999"/>
    <n v="1.466"/>
    <n v="0.90800000000000003"/>
    <n v="0.52"/>
    <n v="9.8000000000000004E-2"/>
    <n v="0.17599999999999999"/>
  </r>
  <r>
    <x v="47"/>
    <x v="4"/>
    <x v="220"/>
    <n v="1.3240000000000001"/>
    <n v="1.472"/>
    <n v="1.0449999999999999"/>
    <n v="0.436"/>
    <n v="0.111"/>
    <n v="0.183"/>
  </r>
  <r>
    <x v="48"/>
    <x v="0"/>
    <x v="221"/>
    <n v="1.0602400000000001"/>
    <n v="0.90527999999999997"/>
    <n v="0.43371999999999999"/>
    <n v="0.31913999999999998"/>
    <n v="6.8220000000000003E-2"/>
    <n v="0.11090999999999999"/>
  </r>
  <r>
    <x v="48"/>
    <x v="1"/>
    <x v="222"/>
    <n v="1.1585099999999999"/>
    <n v="0.72367999999999999"/>
    <n v="0.34939999999999999"/>
    <n v="0.28098000000000001"/>
    <n v="6.2440000000000002E-2"/>
    <n v="9.3140000000000001E-2"/>
  </r>
  <r>
    <x v="48"/>
    <x v="2"/>
    <x v="223"/>
    <n v="1.1982102394103999"/>
    <n v="1.1556202173232999"/>
    <n v="0.356578588485718"/>
    <n v="0.31232857704162598"/>
    <n v="4.3785378336906398E-2"/>
    <n v="7.6046787202358204E-2"/>
  </r>
  <r>
    <x v="48"/>
    <x v="3"/>
    <x v="224"/>
    <n v="1.036"/>
    <n v="1.1639999999999999"/>
    <n v="0.40400000000000003"/>
    <n v="0.35599999999999998"/>
    <n v="3.2000000000000001E-2"/>
    <n v="5.1999999999999998E-2"/>
  </r>
  <r>
    <x v="48"/>
    <x v="4"/>
    <x v="225"/>
    <n v="1.0569999999999999"/>
    <n v="1.1830000000000001"/>
    <n v="0.57099999999999995"/>
    <n v="0.29499999999999998"/>
    <n v="4.2999999999999997E-2"/>
    <n v="5.5E-2"/>
  </r>
  <r>
    <x v="49"/>
    <x v="4"/>
    <x v="226"/>
    <n v="0.308"/>
    <n v="0.93899999999999995"/>
    <n v="0.42799999999999999"/>
    <n v="0.38200000000000001"/>
    <n v="0.26900000000000002"/>
    <n v="0.16700000000000001"/>
  </r>
  <r>
    <x v="50"/>
    <x v="0"/>
    <x v="227"/>
    <n v="0.7419"/>
    <n v="0.38562000000000002"/>
    <n v="0.72926000000000002"/>
    <n v="0.40577000000000002"/>
    <n v="5.5469999999999998E-2"/>
    <n v="0.38330999999999998"/>
  </r>
  <r>
    <x v="50"/>
    <x v="1"/>
    <x v="113"/>
    <n v="0.83792"/>
    <n v="0.19248999999999999"/>
    <n v="0.64034999999999997"/>
    <n v="0.32461000000000001"/>
    <n v="6.7860000000000004E-2"/>
    <n v="0.31879999999999997"/>
  </r>
  <r>
    <x v="50"/>
    <x v="2"/>
    <x v="228"/>
    <n v="0.95061266422271695"/>
    <n v="0.57061493396759"/>
    <n v="0.64954698085784901"/>
    <n v="0.30941003561019897"/>
    <n v="5.4008815437555299E-2"/>
    <n v="0.25166663527488697"/>
  </r>
  <r>
    <x v="50"/>
    <x v="3"/>
    <x v="229"/>
    <n v="0.85299999999999998"/>
    <n v="0.59199999999999997"/>
    <n v="0.64300000000000002"/>
    <n v="0.375"/>
    <n v="3.7999999999999999E-2"/>
    <n v="0.215"/>
  </r>
  <r>
    <x v="50"/>
    <x v="4"/>
    <x v="230"/>
    <n v="0.88600000000000001"/>
    <n v="0.66600000000000004"/>
    <n v="0.752"/>
    <n v="0.34599999999999997"/>
    <n v="4.2999999999999997E-2"/>
    <n v="0.16400000000000001"/>
  </r>
  <r>
    <x v="51"/>
    <x v="0"/>
    <x v="231"/>
    <n v="1.32792"/>
    <n v="1.2993699999999999"/>
    <n v="0.89185999999999999"/>
    <n v="0.61477000000000004"/>
    <n v="0.28214"/>
    <n v="0.21843000000000001"/>
  </r>
  <r>
    <x v="51"/>
    <x v="1"/>
    <x v="232"/>
    <n v="1.44787"/>
    <n v="1.0977399999999999"/>
    <n v="0.81486999999999998"/>
    <n v="0.53466000000000002"/>
    <n v="0.30452000000000001"/>
    <n v="0.28550999999999999"/>
  </r>
  <r>
    <x v="51"/>
    <x v="2"/>
    <x v="233"/>
    <n v="1.4879233837127701"/>
    <n v="1.4725203514099099"/>
    <n v="0.79895073175430298"/>
    <n v="0.56251138448715199"/>
    <n v="0.33626917004585299"/>
    <n v="0.276731938123703"/>
  </r>
  <r>
    <x v="51"/>
    <x v="3"/>
    <x v="234"/>
    <n v="1.34"/>
    <n v="1.474"/>
    <n v="0.86099999999999999"/>
    <n v="0.58599999999999997"/>
    <n v="0.27300000000000002"/>
    <n v="0.28000000000000003"/>
  </r>
  <r>
    <x v="51"/>
    <x v="4"/>
    <x v="235"/>
    <n v="1.373"/>
    <n v="1.454"/>
    <n v="0.98699999999999999"/>
    <n v="0.495"/>
    <n v="0.26100000000000001"/>
    <n v="0.26500000000000001"/>
  </r>
  <r>
    <x v="52"/>
    <x v="0"/>
    <x v="236"/>
    <n v="0.54557999999999995"/>
    <n v="0.67954000000000003"/>
    <n v="0.40132000000000001"/>
    <n v="0.42342000000000002"/>
    <n v="0.23086999999999999"/>
    <n v="4.3549999999999998E-2"/>
  </r>
  <r>
    <x v="52"/>
    <x v="1"/>
    <x v="237"/>
    <n v="0.63107000000000002"/>
    <n v="0.49353000000000002"/>
    <n v="0.29681000000000002"/>
    <n v="0.40972999999999998"/>
    <n v="0.21203"/>
    <n v="3.2599999999999997E-2"/>
  </r>
  <r>
    <x v="52"/>
    <x v="2"/>
    <x v="238"/>
    <n v="0.66722482442855802"/>
    <n v="0.87366473674774203"/>
    <n v="0.295637726783752"/>
    <n v="0.423026293516159"/>
    <n v="0.25692394375801098"/>
    <n v="2.5336369872093201E-2"/>
  </r>
  <r>
    <x v="52"/>
    <x v="3"/>
    <x v="239"/>
    <n v="0.59199999999999997"/>
    <n v="0.89600000000000002"/>
    <n v="0.33700000000000002"/>
    <n v="0.499"/>
    <n v="0.21199999999999999"/>
    <n v="2.9000000000000001E-2"/>
  </r>
  <r>
    <x v="52"/>
    <x v="4"/>
    <x v="240"/>
    <n v="0.61099999999999999"/>
    <n v="0.86799999999999999"/>
    <n v="0.48599999999999999"/>
    <n v="0.38100000000000001"/>
    <n v="0.245"/>
    <n v="0.04"/>
  </r>
  <r>
    <x v="53"/>
    <x v="0"/>
    <x v="241"/>
    <n v="1.1540600000000001"/>
    <n v="0.92932999999999999"/>
    <n v="0.88212999999999997"/>
    <n v="7.6990000000000003E-2"/>
    <n v="0"/>
    <n v="1.397E-2"/>
  </r>
  <r>
    <x v="53"/>
    <x v="1"/>
    <x v="242"/>
    <n v="1.2488600000000001"/>
    <n v="0.75473000000000001"/>
    <n v="0.80028999999999995"/>
    <n v="5.8220000000000001E-2"/>
    <n v="0"/>
    <n v="4.1270000000000001E-2"/>
  </r>
  <r>
    <x v="53"/>
    <x v="2"/>
    <x v="243"/>
    <n v="1.2894874811172501"/>
    <n v="1.2394145727157599"/>
    <n v="0.81019890308380105"/>
    <n v="9.5731250941753401E-2"/>
    <n v="0"/>
    <n v="4.3289776891469997E-2"/>
  </r>
  <r>
    <x v="53"/>
    <x v="3"/>
    <x v="244"/>
    <n v="1.1539999999999999"/>
    <n v="1.202"/>
    <n v="0.879"/>
    <n v="0.13100000000000001"/>
    <n v="0"/>
    <n v="4.3999999999999997E-2"/>
  </r>
  <r>
    <x v="53"/>
    <x v="4"/>
    <x v="245"/>
    <n v="1.181"/>
    <n v="1.1559999999999999"/>
    <n v="0.999"/>
    <n v="6.7000000000000004E-2"/>
    <n v="0"/>
    <n v="3.4000000000000002E-2"/>
  </r>
  <r>
    <x v="54"/>
    <x v="0"/>
    <x v="246"/>
    <n v="0.74553000000000003"/>
    <n v="1.04356"/>
    <n v="0.64424999999999999"/>
    <n v="0.57733000000000001"/>
    <n v="0.27489000000000002"/>
    <n v="9.4719999999999999E-2"/>
  </r>
  <r>
    <x v="54"/>
    <x v="1"/>
    <x v="247"/>
    <n v="0.83453999999999995"/>
    <n v="0.87119000000000002"/>
    <n v="0.54039000000000004"/>
    <n v="0.50378999999999996"/>
    <n v="0.28808"/>
    <n v="8.7010000000000004E-2"/>
  </r>
  <r>
    <x v="54"/>
    <x v="2"/>
    <x v="248"/>
    <n v="0.87200194597244296"/>
    <n v="1.2555851936340301"/>
    <n v="0.54023998975753795"/>
    <n v="0.53131061792373702"/>
    <n v="0.28348839282989502"/>
    <n v="7.72232785820961E-2"/>
  </r>
  <r>
    <x v="54"/>
    <x v="3"/>
    <x v="249"/>
    <n v="0.78100000000000003"/>
    <n v="1.268"/>
    <n v="0.60799999999999998"/>
    <n v="0.60399999999999998"/>
    <n v="0.17899999999999999"/>
    <n v="7.0999999999999994E-2"/>
  </r>
  <r>
    <x v="54"/>
    <x v="4"/>
    <x v="250"/>
    <n v="0.8"/>
    <n v="1.2689999999999999"/>
    <n v="0.746"/>
    <n v="0.53500000000000003"/>
    <n v="0.17499999999999999"/>
    <n v="7.8E-2"/>
  </r>
  <r>
    <x v="55"/>
    <x v="0"/>
    <x v="251"/>
    <n v="0.17416999999999999"/>
    <n v="0.46475"/>
    <n v="0.24009"/>
    <n v="0.37724999999999997"/>
    <n v="0.28656999999999999"/>
    <n v="0.12139"/>
  </r>
  <r>
    <x v="55"/>
    <x v="1"/>
    <x v="252"/>
    <n v="0.22414999999999999"/>
    <n v="0.31090000000000001"/>
    <n v="0.18829000000000001"/>
    <n v="0.30953000000000003"/>
    <n v="0.29914000000000002"/>
    <n v="0.1192"/>
  </r>
  <r>
    <x v="55"/>
    <x v="2"/>
    <x v="253"/>
    <n v="0.244549930095673"/>
    <n v="0.79124468564987205"/>
    <n v="0.194129139184952"/>
    <n v="0.34858751296997098"/>
    <n v="0.26481509208679199"/>
    <n v="0.110937617719173"/>
  </r>
  <r>
    <x v="55"/>
    <x v="3"/>
    <x v="254"/>
    <n v="0.34399999999999997"/>
    <n v="0.79200000000000004"/>
    <n v="0.21099999999999999"/>
    <n v="0.39400000000000002"/>
    <n v="0.185"/>
    <n v="9.4E-2"/>
  </r>
  <r>
    <x v="55"/>
    <x v="4"/>
    <x v="255"/>
    <n v="0.38"/>
    <n v="0.82899999999999996"/>
    <n v="0.375"/>
    <n v="0.33200000000000002"/>
    <n v="0.20699999999999999"/>
    <n v="8.5999999999999993E-2"/>
  </r>
  <r>
    <x v="56"/>
    <x v="0"/>
    <x v="256"/>
    <n v="0.26673000000000002"/>
    <n v="0.74302000000000001"/>
    <n v="0.38846999999999998"/>
    <n v="0.24424999999999999"/>
    <n v="0.46187"/>
    <n v="0.17175000000000001"/>
  </r>
  <r>
    <x v="56"/>
    <x v="1"/>
    <x v="257"/>
    <n v="0.34097"/>
    <n v="0.29560999999999998"/>
    <n v="0.27494000000000002"/>
    <n v="0.12071999999999999"/>
    <n v="0.47958000000000001"/>
    <n v="0.14476"/>
  </r>
  <r>
    <x v="56"/>
    <x v="2"/>
    <x v="258"/>
    <n v="0.36861026287078902"/>
    <n v="0.64044982194900502"/>
    <n v="0.27732113003730802"/>
    <n v="3.0369857326149899E-2"/>
    <n v="0.489203780889511"/>
    <n v="9.9872149527072906E-2"/>
  </r>
  <r>
    <x v="56"/>
    <x v="3"/>
    <x v="259"/>
    <n v="0.315"/>
    <n v="0.71399999999999997"/>
    <n v="0.28899999999999998"/>
    <n v="2.5000000000000001E-2"/>
    <n v="0.39200000000000002"/>
    <n v="0.104"/>
  </r>
  <r>
    <x v="56"/>
    <x v="4"/>
    <x v="260"/>
    <n v="0.32300000000000001"/>
    <n v="0.68799999999999994"/>
    <n v="0.44900000000000001"/>
    <n v="2.5999999999999999E-2"/>
    <n v="0.41899999999999998"/>
    <n v="0.11"/>
  </r>
  <r>
    <x v="57"/>
    <x v="0"/>
    <x v="261"/>
    <n v="0.59531999999999996"/>
    <n v="0.95347999999999999"/>
    <n v="0.69510000000000005"/>
    <n v="0.40148"/>
    <n v="0.23027"/>
    <n v="6.8250000000000005E-2"/>
  </r>
  <r>
    <x v="57"/>
    <x v="1"/>
    <x v="262"/>
    <n v="0.69428999999999996"/>
    <n v="0.75595999999999997"/>
    <n v="0.58382999999999996"/>
    <n v="0.26755000000000001"/>
    <n v="0.2044"/>
    <n v="6.9059999999999996E-2"/>
  </r>
  <r>
    <x v="57"/>
    <x v="2"/>
    <x v="263"/>
    <n v="0.73057311773300204"/>
    <n v="1.1439449787139899"/>
    <n v="0.582569479942322"/>
    <n v="0.34807986021041898"/>
    <n v="0.23618887364864299"/>
    <n v="7.3345452547073406E-2"/>
  </r>
  <r>
    <x v="57"/>
    <x v="3"/>
    <x v="264"/>
    <n v="0.62"/>
    <n v="1.2050000000000001"/>
    <n v="0.622"/>
    <n v="0.45900000000000002"/>
    <n v="0.19700000000000001"/>
    <n v="7.3999999999999996E-2"/>
  </r>
  <r>
    <x v="57"/>
    <x v="4"/>
    <x v="265"/>
    <n v="0.64200000000000002"/>
    <n v="1.236"/>
    <n v="0.82799999999999996"/>
    <n v="0.50700000000000001"/>
    <n v="0.246"/>
    <n v="7.8E-2"/>
  </r>
  <r>
    <x v="58"/>
    <x v="0"/>
    <x v="266"/>
    <n v="1.3860399999999999"/>
    <n v="1.0581799999999999"/>
    <n v="1.01328"/>
    <n v="0.59608000000000005"/>
    <n v="0.39478000000000002"/>
    <n v="0.37124000000000001"/>
  </r>
  <r>
    <x v="58"/>
    <x v="1"/>
    <x v="267"/>
    <n v="1.5106999999999999"/>
    <n v="0.87021000000000004"/>
    <n v="0.95277000000000001"/>
    <n v="0.48079"/>
    <n v="0.40096999999999999"/>
    <n v="0.31646999999999997"/>
  </r>
  <r>
    <x v="58"/>
    <x v="3"/>
    <x v="268"/>
    <n v="1.405"/>
    <n v="1.29"/>
    <n v="1.03"/>
    <n v="0.52400000000000002"/>
    <n v="0.246"/>
    <n v="0.29099999999999998"/>
  </r>
  <r>
    <x v="58"/>
    <x v="4"/>
    <x v="268"/>
    <n v="1.4379999999999999"/>
    <n v="1.2769999999999999"/>
    <n v="1.1220000000000001"/>
    <n v="0.44"/>
    <n v="0.25800000000000001"/>
    <n v="0.28699999999999998"/>
  </r>
  <r>
    <x v="59"/>
    <x v="2"/>
    <x v="269"/>
    <n v="1.55167484283447"/>
    <n v="1.2627909183502199"/>
    <n v="0.943062424659729"/>
    <n v="0.49096864461898798"/>
    <n v="0.37446579337120101"/>
    <n v="0.29393374919891402"/>
  </r>
  <r>
    <x v="60"/>
    <x v="0"/>
    <x v="270"/>
    <n v="1.12094"/>
    <n v="1.2021500000000001"/>
    <n v="0.75905"/>
    <n v="0.32112000000000002"/>
    <n v="0.128"/>
    <n v="2.758E-2"/>
  </r>
  <r>
    <x v="60"/>
    <x v="1"/>
    <x v="271"/>
    <n v="1.24142"/>
    <n v="0.93164000000000002"/>
    <n v="0.67608000000000001"/>
    <n v="0.19769999999999999"/>
    <n v="9.9000000000000005E-2"/>
    <n v="4.4720000000000003E-2"/>
  </r>
  <r>
    <x v="60"/>
    <x v="2"/>
    <x v="272"/>
    <n v="1.2860119342803999"/>
    <n v="1.34313309192657"/>
    <n v="0.687763452529907"/>
    <n v="0.17586351931095101"/>
    <n v="7.84016624093056E-2"/>
    <n v="3.66369374096394E-2"/>
  </r>
  <r>
    <x v="60"/>
    <x v="3"/>
    <x v="273"/>
    <n v="1.171"/>
    <n v="1.401"/>
    <n v="0.73199999999999998"/>
    <n v="0.25900000000000001"/>
    <n v="6.0999999999999999E-2"/>
    <n v="2.1999999999999999E-2"/>
  </r>
  <r>
    <x v="60"/>
    <x v="4"/>
    <x v="274"/>
    <n v="1.2010000000000001"/>
    <n v="1.41"/>
    <n v="0.82799999999999996"/>
    <n v="0.19900000000000001"/>
    <n v="8.1000000000000003E-2"/>
    <n v="0.02"/>
  </r>
  <r>
    <x v="61"/>
    <x v="0"/>
    <x v="275"/>
    <n v="1.3023199999999999"/>
    <n v="1.4022300000000001"/>
    <n v="0.94784000000000002"/>
    <n v="0.62877000000000005"/>
    <n v="0.43630000000000002"/>
    <n v="0.14144999999999999"/>
  </r>
  <r>
    <x v="61"/>
    <x v="1"/>
    <x v="276"/>
    <n v="1.42666"/>
    <n v="1.18326"/>
    <n v="0.86733000000000005"/>
    <n v="0.56623999999999997"/>
    <n v="0.47677999999999998"/>
    <n v="0.14974999999999999"/>
  </r>
  <r>
    <x v="61"/>
    <x v="2"/>
    <x v="277"/>
    <n v="1.4806330204010001"/>
    <n v="1.6105740070343"/>
    <n v="0.83355212211608898"/>
    <n v="0.62716263532638505"/>
    <n v="0.475540220737457"/>
    <n v="0.15352655947208399"/>
  </r>
  <r>
    <x v="61"/>
    <x v="3"/>
    <x v="278"/>
    <n v="1.343"/>
    <n v="1.6439999999999999"/>
    <n v="0.91400000000000003"/>
    <n v="0.67700000000000005"/>
    <n v="0.35299999999999998"/>
    <n v="0.13800000000000001"/>
  </r>
  <r>
    <x v="61"/>
    <x v="4"/>
    <x v="279"/>
    <n v="1.38"/>
    <n v="1.6240000000000001"/>
    <n v="1.026"/>
    <n v="0.59099999999999997"/>
    <n v="0.35399999999999998"/>
    <n v="0.11799999999999999"/>
  </r>
  <r>
    <x v="62"/>
    <x v="0"/>
    <x v="280"/>
    <n v="0.64498999999999995"/>
    <n v="0.38174000000000002"/>
    <n v="0.51529000000000003"/>
    <n v="0.39785999999999999"/>
    <n v="0.26474999999999999"/>
    <n v="8.4919999999999995E-2"/>
  </r>
  <r>
    <x v="62"/>
    <x v="1"/>
    <x v="281"/>
    <n v="0.74036000000000002"/>
    <n v="0.29247000000000001"/>
    <n v="0.45090999999999998"/>
    <n v="0.40284999999999999"/>
    <n v="0.25028"/>
    <n v="8.7220000000000006E-2"/>
  </r>
  <r>
    <x v="62"/>
    <x v="2"/>
    <x v="282"/>
    <n v="0.79222124814987205"/>
    <n v="0.75437259674072299"/>
    <n v="0.455427616834641"/>
    <n v="0.46998700499534601"/>
    <n v="0.23153848946094499"/>
    <n v="9.22268852591515E-2"/>
  </r>
  <r>
    <x v="62"/>
    <x v="3"/>
    <x v="283"/>
    <n v="0.72099999999999997"/>
    <n v="0.747"/>
    <n v="0.48499999999999999"/>
    <n v="0.53900000000000003"/>
    <n v="0.17199999999999999"/>
    <n v="9.2999999999999999E-2"/>
  </r>
  <r>
    <x v="62"/>
    <x v="4"/>
    <x v="284"/>
    <n v="0.755"/>
    <n v="0.76500000000000001"/>
    <n v="0.58799999999999997"/>
    <n v="0.498"/>
    <n v="0.2"/>
    <n v="8.5000000000000006E-2"/>
  </r>
  <r>
    <x v="63"/>
    <x v="0"/>
    <x v="285"/>
    <n v="0.82826999999999995"/>
    <n v="1.08708"/>
    <n v="0.63793"/>
    <n v="0.46611000000000002"/>
    <n v="0.51534999999999997"/>
    <n v="0"/>
  </r>
  <r>
    <x v="63"/>
    <x v="1"/>
    <x v="286"/>
    <n v="0.95104"/>
    <n v="0.87624999999999997"/>
    <n v="0.49374000000000001"/>
    <n v="0.39237"/>
    <n v="0.56520999999999999"/>
    <n v="3.2200000000000002E-3"/>
  </r>
  <r>
    <x v="63"/>
    <x v="2"/>
    <x v="287"/>
    <n v="0.99553859233856201"/>
    <n v="1.2744446992874101"/>
    <n v="0.492345720529556"/>
    <n v="0.44332346320152299"/>
    <n v="0.61170458793640103"/>
    <n v="1.5317135490477101E-2"/>
  </r>
  <r>
    <x v="63"/>
    <x v="3"/>
    <x v="288"/>
    <n v="0.89900000000000002"/>
    <n v="1.2150000000000001"/>
    <n v="0.52200000000000002"/>
    <n v="0.53800000000000003"/>
    <n v="0.48399999999999999"/>
    <n v="1.7999999999999999E-2"/>
  </r>
  <r>
    <x v="63"/>
    <x v="4"/>
    <x v="289"/>
    <n v="0.93100000000000005"/>
    <n v="1.2030000000000001"/>
    <n v="0.66"/>
    <n v="0.49099999999999999"/>
    <n v="0.498"/>
    <n v="2.8000000000000001E-2"/>
  </r>
  <r>
    <x v="64"/>
    <x v="0"/>
    <x v="290"/>
    <n v="1.0087999999999999"/>
    <n v="0.54447000000000001"/>
    <n v="0.69804999999999995"/>
    <n v="0.30032999999999999"/>
    <n v="0.38085999999999998"/>
    <n v="5.8630000000000002E-2"/>
  </r>
  <r>
    <x v="64"/>
    <x v="1"/>
    <x v="291"/>
    <n v="1.11758"/>
    <n v="0.38857000000000003"/>
    <n v="0.64232"/>
    <n v="0.22544"/>
    <n v="0.38538"/>
    <n v="5.57E-2"/>
  </r>
  <r>
    <x v="64"/>
    <x v="2"/>
    <x v="292"/>
    <n v="1.1568731069564799"/>
    <n v="0.71155124902725198"/>
    <n v="0.63933318853378296"/>
    <n v="0.24932260811328899"/>
    <n v="0.38724291324615501"/>
    <n v="4.8761073499917998E-2"/>
  </r>
  <r>
    <x v="64"/>
    <x v="3"/>
    <x v="293"/>
    <n v="1.0589999999999999"/>
    <n v="0.77100000000000002"/>
    <n v="0.69099999999999995"/>
    <n v="0.45900000000000002"/>
    <n v="0.28199999999999997"/>
    <n v="0.129"/>
  </r>
  <r>
    <x v="64"/>
    <x v="4"/>
    <x v="294"/>
    <n v="1.1000000000000001"/>
    <n v="0.84199999999999997"/>
    <n v="0.78500000000000003"/>
    <n v="0.30499999999999999"/>
    <n v="0.27"/>
    <n v="0.125"/>
  </r>
  <r>
    <x v="65"/>
    <x v="0"/>
    <x v="295"/>
    <n v="0.98548999999999998"/>
    <n v="0.81889000000000001"/>
    <n v="0.60236999999999996"/>
    <n v="0"/>
    <n v="0.17921999999999999"/>
    <n v="0.13788"/>
  </r>
  <r>
    <x v="65"/>
    <x v="1"/>
    <x v="296"/>
    <n v="1.07474"/>
    <n v="0.59204999999999997"/>
    <n v="0.51075999999999999"/>
    <n v="0.24856"/>
    <n v="0.19589000000000001"/>
    <n v="0.13636000000000001"/>
  </r>
  <r>
    <x v="65"/>
    <x v="2"/>
    <x v="297"/>
    <n v="1.10271048545837"/>
    <n v="0.97861319780349698"/>
    <n v="0.50118046998977706"/>
    <n v="0.28855553269386303"/>
    <n v="0.19963726401328999"/>
    <n v="0.10721575468778601"/>
  </r>
  <r>
    <x v="65"/>
    <x v="3"/>
    <x v="53"/>
    <n v="1.01"/>
    <n v="0.97099999999999997"/>
    <n v="0.53600000000000003"/>
    <n v="0.30399999999999999"/>
    <n v="0.14799999999999999"/>
    <n v="9.5000000000000001E-2"/>
  </r>
  <r>
    <x v="65"/>
    <x v="4"/>
    <x v="298"/>
    <n v="1.0429999999999999"/>
    <n v="0.98"/>
    <n v="0.57399999999999995"/>
    <n v="0.24099999999999999"/>
    <n v="0.14799999999999999"/>
    <n v="8.8999999999999996E-2"/>
  </r>
  <r>
    <x v="66"/>
    <x v="0"/>
    <x v="299"/>
    <n v="1.33596"/>
    <n v="1.36948"/>
    <n v="0.89532999999999996"/>
    <n v="0.61777000000000004"/>
    <n v="0.45900999999999997"/>
    <n v="0.28703000000000001"/>
  </r>
  <r>
    <x v="66"/>
    <x v="1"/>
    <x v="300"/>
    <n v="1.4834099999999999"/>
    <n v="1.16157"/>
    <n v="0.81455"/>
    <n v="0.54008"/>
    <n v="0.44962999999999997"/>
    <n v="0.29754000000000003"/>
  </r>
  <r>
    <x v="66"/>
    <x v="2"/>
    <x v="301"/>
    <n v="1.53570663928986"/>
    <n v="1.5582311153411901"/>
    <n v="0.80978262424469005"/>
    <n v="0.57311034202575695"/>
    <n v="0.42785832285880998"/>
    <n v="0.29838815331459001"/>
  </r>
  <r>
    <x v="66"/>
    <x v="3"/>
    <x v="302"/>
    <n v="1.448"/>
    <n v="1.583"/>
    <n v="0.876"/>
    <n v="0.61399999999999999"/>
    <n v="0.307"/>
    <n v="0.30599999999999999"/>
  </r>
  <r>
    <x v="66"/>
    <x v="4"/>
    <x v="303"/>
    <n v="1.4990000000000001"/>
    <n v="1.5529999999999999"/>
    <n v="0.999"/>
    <n v="0.51600000000000001"/>
    <n v="0.29799999999999999"/>
    <n v="0.31"/>
  </r>
  <r>
    <x v="67"/>
    <x v="0"/>
    <x v="122"/>
    <n v="1.2285699999999999"/>
    <n v="1.22393"/>
    <n v="0.91386999999999996"/>
    <n v="0.41319"/>
    <n v="0.33172000000000001"/>
    <n v="7.7850000000000003E-2"/>
  </r>
  <r>
    <x v="67"/>
    <x v="1"/>
    <x v="304"/>
    <n v="1.3376600000000001"/>
    <n v="0.99536999999999998"/>
    <n v="0.84916999999999998"/>
    <n v="0.36431999999999998"/>
    <n v="0.32288"/>
    <n v="8.7279999999999996E-2"/>
  </r>
  <r>
    <x v="67"/>
    <x v="2"/>
    <x v="305"/>
    <n v="1.37538242340088"/>
    <n v="1.3762899637222299"/>
    <n v="0.83840399980545"/>
    <n v="0.40598860383033802"/>
    <n v="0.33008265495300299"/>
    <n v="8.5242100059986101E-2"/>
  </r>
  <r>
    <x v="67"/>
    <x v="3"/>
    <x v="306"/>
    <n v="1.3009999999999999"/>
    <n v="1.5589999999999999"/>
    <n v="0.88300000000000001"/>
    <n v="0.53300000000000003"/>
    <n v="0.35399999999999998"/>
    <n v="0.27200000000000002"/>
  </r>
  <r>
    <x v="67"/>
    <x v="4"/>
    <x v="37"/>
    <n v="1.276"/>
    <n v="1.4550000000000001"/>
    <n v="1.0289999999999999"/>
    <n v="0.371"/>
    <n v="0.26100000000000001"/>
    <n v="8.2000000000000003E-2"/>
  </r>
  <r>
    <x v="68"/>
    <x v="0"/>
    <x v="307"/>
    <n v="1.2511399999999999"/>
    <n v="1.19777"/>
    <n v="0.95445999999999998"/>
    <n v="0.26235999999999998"/>
    <n v="0.22822999999999999"/>
    <n v="2.9010000000000001E-2"/>
  </r>
  <r>
    <x v="68"/>
    <x v="1"/>
    <x v="308"/>
    <n v="1.3549500000000001"/>
    <n v="1.0416700000000001"/>
    <n v="0.85102"/>
    <n v="0.18826999999999999"/>
    <n v="0.16683999999999999"/>
    <n v="2.5559999999999999E-2"/>
  </r>
  <r>
    <x v="68"/>
    <x v="2"/>
    <x v="309"/>
    <n v="1.3950666189193699"/>
    <n v="1.44492328166962"/>
    <n v="0.85314434766769398"/>
    <n v="0.25645071268081698"/>
    <n v="0.17278964817524001"/>
    <n v="2.8028091415762901E-2"/>
  </r>
  <r>
    <x v="68"/>
    <x v="3"/>
    <x v="310"/>
    <n v="1.264"/>
    <n v="1.5009999999999999"/>
    <n v="0.94599999999999995"/>
    <n v="0.28100000000000003"/>
    <n v="0.13700000000000001"/>
    <n v="2.8000000000000001E-2"/>
  </r>
  <r>
    <x v="68"/>
    <x v="4"/>
    <x v="311"/>
    <n v="1.294"/>
    <n v="1.488"/>
    <n v="1.0389999999999999"/>
    <n v="0.23100000000000001"/>
    <n v="0.158"/>
    <n v="0.03"/>
  </r>
  <r>
    <x v="69"/>
    <x v="0"/>
    <x v="312"/>
    <n v="0.46533999999999998"/>
    <n v="0.77115"/>
    <n v="0.15185000000000001"/>
    <n v="0.46866000000000002"/>
    <n v="0.20165"/>
    <n v="0.17921999999999999"/>
  </r>
  <r>
    <x v="69"/>
    <x v="1"/>
    <x v="313"/>
    <n v="0.55506999999999995"/>
    <n v="0.57576000000000005"/>
    <n v="4.4760000000000001E-2"/>
    <n v="0.40662999999999999"/>
    <n v="0.20338000000000001"/>
    <n v="0.15529999999999999"/>
  </r>
  <r>
    <x v="69"/>
    <x v="2"/>
    <x v="314"/>
    <n v="0.60304892063140902"/>
    <n v="0.90478003025054898"/>
    <n v="4.8642169684171697E-2"/>
    <n v="0.44770619273185702"/>
    <n v="0.20123746991157501"/>
    <n v="0.130061775445938"/>
  </r>
  <r>
    <x v="69"/>
    <x v="3"/>
    <x v="315"/>
    <n v="0.54100000000000004"/>
    <n v="0.872"/>
    <n v="0.08"/>
    <n v="0.46700000000000003"/>
    <n v="0.14599999999999999"/>
    <n v="0.10299999999999999"/>
  </r>
  <r>
    <x v="69"/>
    <x v="4"/>
    <x v="316"/>
    <n v="0.56899999999999995"/>
    <n v="0.80800000000000005"/>
    <n v="0.23200000000000001"/>
    <n v="0.35199999999999998"/>
    <n v="0.154"/>
    <n v="0.09"/>
  </r>
  <r>
    <x v="70"/>
    <x v="0"/>
    <x v="317"/>
    <n v="0.81037999999999999"/>
    <n v="1.1510199999999999"/>
    <n v="0.68740999999999997"/>
    <n v="0.50441999999999998"/>
    <n v="0.21229999999999999"/>
    <n v="2.299E-2"/>
  </r>
  <r>
    <x v="70"/>
    <x v="1"/>
    <x v="318"/>
    <n v="0.89332999999999996"/>
    <n v="0.96372000000000002"/>
    <n v="0.59469000000000005"/>
    <n v="0.43597000000000002"/>
    <n v="0.22245000000000001"/>
    <n v="4.2939999999999999E-2"/>
  </r>
  <r>
    <x v="70"/>
    <x v="2"/>
    <x v="319"/>
    <n v="0.92557930946350098"/>
    <n v="1.3682180643081701"/>
    <n v="0.64102238416671797"/>
    <n v="0.47430723905563399"/>
    <n v="0.23381833732128099"/>
    <n v="5.5267781019210802E-2"/>
  </r>
  <r>
    <x v="70"/>
    <x v="3"/>
    <x v="75"/>
    <n v="0.81899999999999995"/>
    <n v="1.4930000000000001"/>
    <n v="0.69299999999999995"/>
    <n v="0.57499999999999996"/>
    <n v="9.6000000000000002E-2"/>
    <n v="3.1E-2"/>
  </r>
  <r>
    <x v="70"/>
    <x v="4"/>
    <x v="75"/>
    <n v="0.83099999999999996"/>
    <n v="1.478"/>
    <n v="0.83099999999999996"/>
    <n v="0.49"/>
    <n v="0.107"/>
    <n v="2.8000000000000001E-2"/>
  </r>
  <r>
    <x v="71"/>
    <x v="0"/>
    <x v="320"/>
    <n v="1.27074"/>
    <n v="1.25712"/>
    <n v="0.99111000000000005"/>
    <n v="0.49614999999999998"/>
    <n v="0.10705000000000001"/>
    <n v="0.18060000000000001"/>
  </r>
  <r>
    <x v="71"/>
    <x v="1"/>
    <x v="321"/>
    <n v="1.3800699999999999"/>
    <n v="1.06054"/>
    <n v="0.91491"/>
    <n v="0.46761000000000003"/>
    <n v="0.10224"/>
    <n v="0.18984999999999999"/>
  </r>
  <r>
    <x v="71"/>
    <x v="2"/>
    <x v="322"/>
    <n v="1.41691517829895"/>
    <n v="1.4363378286361701"/>
    <n v="0.91347587108612105"/>
    <n v="0.50562554597854603"/>
    <n v="0.12057276815176"/>
    <n v="0.163760736584663"/>
  </r>
  <r>
    <x v="71"/>
    <x v="3"/>
    <x v="323"/>
    <n v="1.294"/>
    <n v="1.462"/>
    <n v="0.98799999999999999"/>
    <n v="0.55300000000000005"/>
    <n v="7.9000000000000001E-2"/>
    <n v="0.15"/>
  </r>
  <r>
    <x v="71"/>
    <x v="4"/>
    <x v="324"/>
    <n v="1.327"/>
    <n v="1.419"/>
    <n v="1.0880000000000001"/>
    <n v="0.44500000000000001"/>
    <n v="6.9000000000000006E-2"/>
    <n v="0.14000000000000001"/>
  </r>
  <r>
    <x v="72"/>
    <x v="0"/>
    <x v="289"/>
    <n v="0.90198"/>
    <n v="1.05392"/>
    <n v="0.69638999999999995"/>
    <n v="0.40661000000000003"/>
    <n v="0.11053"/>
    <n v="0.14293"/>
  </r>
  <r>
    <x v="72"/>
    <x v="1"/>
    <x v="325"/>
    <n v="0.99673"/>
    <n v="0.86216000000000004"/>
    <n v="0.60711999999999999"/>
    <n v="0.36022999999999999"/>
    <n v="0.14262"/>
    <n v="0.13297"/>
  </r>
  <r>
    <x v="72"/>
    <x v="2"/>
    <x v="326"/>
    <n v="0.99101239442825295"/>
    <n v="1.2390888929367101"/>
    <n v="0.60459005832672097"/>
    <n v="0.41842114925384499"/>
    <n v="0.172170460224152"/>
    <n v="0.11980327218771"/>
  </r>
  <r>
    <x v="72"/>
    <x v="3"/>
    <x v="327"/>
    <n v="0.82199999999999995"/>
    <n v="1.2649999999999999"/>
    <n v="0.64500000000000002"/>
    <n v="0.46800000000000003"/>
    <n v="0.13"/>
    <n v="0.13400000000000001"/>
  </r>
  <r>
    <x v="72"/>
    <x v="4"/>
    <x v="328"/>
    <n v="0.83699999999999997"/>
    <n v="1.2250000000000001"/>
    <n v="0.81499999999999995"/>
    <n v="0.38300000000000001"/>
    <n v="0.11"/>
    <n v="0.13"/>
  </r>
  <r>
    <x v="73"/>
    <x v="0"/>
    <x v="329"/>
    <n v="1.1225400000000001"/>
    <n v="1.1224099999999999"/>
    <n v="0.64368000000000003"/>
    <n v="0.51649"/>
    <n v="0.11827"/>
    <n v="8.4540000000000004E-2"/>
  </r>
  <r>
    <x v="73"/>
    <x v="1"/>
    <x v="330"/>
    <n v="1.22943"/>
    <n v="0.95543999999999996"/>
    <n v="0.57386000000000004"/>
    <n v="0.4052"/>
    <n v="0.15010999999999999"/>
    <n v="0.11132"/>
  </r>
  <r>
    <x v="73"/>
    <x v="2"/>
    <x v="331"/>
    <n v="1.28455626964569"/>
    <n v="1.3843690156936601"/>
    <n v="0.60604155063629195"/>
    <n v="0.437454283237457"/>
    <n v="0.20196442306041701"/>
    <n v="0.119282886385918"/>
  </r>
  <r>
    <x v="73"/>
    <x v="3"/>
    <x v="332"/>
    <n v="1.143"/>
    <n v="1.516"/>
    <n v="0.63100000000000001"/>
    <n v="0.45400000000000001"/>
    <n v="0.14799999999999999"/>
    <n v="0.121"/>
  </r>
  <r>
    <x v="73"/>
    <x v="4"/>
    <x v="333"/>
    <n v="1.173"/>
    <n v="1.508"/>
    <n v="0.72899999999999998"/>
    <n v="0.41"/>
    <n v="0.14599999999999999"/>
    <n v="9.6000000000000002E-2"/>
  </r>
  <r>
    <x v="74"/>
    <x v="0"/>
    <x v="195"/>
    <n v="0.36470999999999998"/>
    <n v="0.99875999999999998"/>
    <n v="0.41435"/>
    <n v="0.42215000000000003"/>
    <n v="0.37541999999999998"/>
    <n v="5.8389999999999997E-2"/>
  </r>
  <r>
    <x v="74"/>
    <x v="1"/>
    <x v="334"/>
    <n v="0.52266999999999997"/>
    <n v="0.76239999999999997"/>
    <n v="0.30147000000000002"/>
    <n v="0.40576000000000001"/>
    <n v="0.41327999999999998"/>
    <n v="6.6860000000000003E-2"/>
  </r>
  <r>
    <x v="74"/>
    <x v="2"/>
    <x v="335"/>
    <n v="0.56047946214675903"/>
    <n v="1.0679507255554199"/>
    <n v="0.30998834967613198"/>
    <n v="0.45276376605033902"/>
    <n v="0.444860309362411"/>
    <n v="6.4641319215297699E-2"/>
  </r>
  <r>
    <x v="74"/>
    <x v="3"/>
    <x v="336"/>
    <n v="0.49299999999999999"/>
    <n v="1.048"/>
    <n v="0.45400000000000001"/>
    <n v="0.504"/>
    <n v="0.35199999999999998"/>
    <n v="5.5E-2"/>
  </r>
  <r>
    <x v="74"/>
    <x v="4"/>
    <x v="337"/>
    <n v="0.51200000000000001"/>
    <n v="0.98299999999999998"/>
    <n v="0.58099999999999996"/>
    <n v="0.43099999999999999"/>
    <n v="0.372"/>
    <n v="5.2999999999999999E-2"/>
  </r>
  <r>
    <x v="75"/>
    <x v="0"/>
    <x v="338"/>
    <n v="0.80147999999999997"/>
    <n v="0.81198000000000004"/>
    <n v="0.63131999999999999"/>
    <n v="0.24748999999999999"/>
    <n v="0.28310000000000002"/>
    <n v="4.7410000000000001E-2"/>
  </r>
  <r>
    <x v="75"/>
    <x v="1"/>
    <x v="339"/>
    <n v="0.90144999999999997"/>
    <n v="0.66061999999999999"/>
    <n v="0.54"/>
    <n v="0.14396"/>
    <n v="0.27992"/>
    <n v="6.547E-2"/>
  </r>
  <r>
    <x v="75"/>
    <x v="2"/>
    <x v="340"/>
    <n v="0.95148438215255704"/>
    <n v="1.1378535032272299"/>
    <n v="0.54145205020904497"/>
    <n v="0.26028794050216703"/>
    <n v="0.31993144750595098"/>
    <n v="5.7471618056297302E-2"/>
  </r>
  <r>
    <x v="75"/>
    <x v="3"/>
    <x v="341"/>
    <n v="0.85499999999999998"/>
    <n v="1.23"/>
    <n v="0.57799999999999996"/>
    <n v="0.44800000000000001"/>
    <n v="0.27400000000000002"/>
    <n v="2.3E-2"/>
  </r>
  <r>
    <x v="75"/>
    <x v="4"/>
    <x v="342"/>
    <n v="0.88200000000000001"/>
    <n v="1.232"/>
    <n v="0.75800000000000001"/>
    <n v="0.48899999999999999"/>
    <n v="0.26200000000000001"/>
    <n v="6.0000000000000001E-3"/>
  </r>
  <r>
    <x v="76"/>
    <x v="0"/>
    <x v="343"/>
    <n v="1.5542199999999999"/>
    <n v="1.16594"/>
    <n v="0.72492000000000001"/>
    <n v="0.55498999999999998"/>
    <n v="0.16228000000000001"/>
    <n v="0.25608999999999998"/>
  </r>
  <r>
    <x v="76"/>
    <x v="1"/>
    <x v="344"/>
    <n v="1.61714"/>
    <n v="0.87758000000000003"/>
    <n v="0.63568999999999998"/>
    <n v="0.43165999999999999"/>
    <n v="0.15964999999999999"/>
    <n v="0.23669000000000001"/>
  </r>
  <r>
    <x v="76"/>
    <x v="2"/>
    <x v="345"/>
    <n v="1.63295245170593"/>
    <n v="1.25969874858856"/>
    <n v="0.63210570812225297"/>
    <n v="0.49633759260177601"/>
    <n v="0.22828979790210699"/>
    <n v="0.21515955030918099"/>
  </r>
  <r>
    <x v="76"/>
    <x v="3"/>
    <x v="346"/>
    <n v="1.474"/>
    <n v="1.3009999999999999"/>
    <n v="0.67500000000000004"/>
    <n v="0.55400000000000005"/>
    <n v="0.16700000000000001"/>
    <n v="0.106"/>
  </r>
  <r>
    <x v="76"/>
    <x v="4"/>
    <x v="347"/>
    <n v="1.5"/>
    <n v="1.319"/>
    <n v="0.80800000000000005"/>
    <n v="0.49299999999999999"/>
    <n v="0.14199999999999999"/>
    <n v="9.7000000000000003E-2"/>
  </r>
  <r>
    <x v="77"/>
    <x v="0"/>
    <x v="348"/>
    <n v="0.47427999999999998"/>
    <n v="1.1511499999999999"/>
    <n v="0.65088000000000001"/>
    <n v="0.43476999999999999"/>
    <n v="0.30030000000000001"/>
    <n v="4.2320000000000003E-2"/>
  </r>
  <r>
    <x v="77"/>
    <x v="1"/>
    <x v="349"/>
    <n v="0.56044000000000005"/>
    <n v="0.95433999999999997"/>
    <n v="0.55449000000000004"/>
    <n v="0.40211999999999998"/>
    <n v="0.38431999999999999"/>
    <n v="4.7620000000000003E-2"/>
  </r>
  <r>
    <x v="77"/>
    <x v="2"/>
    <x v="350"/>
    <n v="0.59622007608413696"/>
    <n v="1.3942385911941499"/>
    <n v="0.55345779657363903"/>
    <n v="0.45494338870048501"/>
    <n v="0.42858037352562001"/>
    <n v="3.9439179003238699E-2"/>
  </r>
  <r>
    <x v="77"/>
    <x v="3"/>
    <x v="351"/>
    <n v="0.53"/>
    <n v="1.4159999999999999"/>
    <n v="0.59399999999999997"/>
    <n v="0.54"/>
    <n v="0.28100000000000003"/>
    <n v="3.5000000000000003E-2"/>
  </r>
  <r>
    <x v="77"/>
    <x v="4"/>
    <x v="352"/>
    <n v="0.55100000000000005"/>
    <n v="1.4379999999999999"/>
    <n v="0.72299999999999998"/>
    <n v="0.50800000000000001"/>
    <n v="0.3"/>
    <n v="2.3E-2"/>
  </r>
  <r>
    <x v="78"/>
    <x v="0"/>
    <x v="353"/>
    <n v="0.59065999999999996"/>
    <n v="0.73802999999999996"/>
    <n v="0.54908999999999997"/>
    <n v="0.59591000000000005"/>
    <n v="0.42192000000000002"/>
    <n v="0.24249000000000001"/>
  </r>
  <r>
    <x v="78"/>
    <x v="1"/>
    <x v="353"/>
    <n v="0.68042000000000002"/>
    <n v="0.54969999999999997"/>
    <n v="0.38290999999999997"/>
    <n v="0.52168000000000003"/>
    <n v="0.43079000000000001"/>
    <n v="0.22423000000000001"/>
  </r>
  <r>
    <x v="78"/>
    <x v="3"/>
    <x v="354"/>
    <n v="0.72"/>
    <n v="1.034"/>
    <n v="0.441"/>
    <n v="0.626"/>
    <n v="0.23"/>
    <n v="0.17399999999999999"/>
  </r>
  <r>
    <x v="78"/>
    <x v="4"/>
    <x v="355"/>
    <n v="0.76400000000000001"/>
    <n v="1.03"/>
    <n v="0.55100000000000005"/>
    <n v="0.54700000000000004"/>
    <n v="0.26600000000000001"/>
    <n v="0.16400000000000001"/>
  </r>
  <r>
    <x v="79"/>
    <x v="0"/>
    <x v="356"/>
    <n v="1.1131200000000001"/>
    <n v="1.09562"/>
    <n v="0.72436999999999996"/>
    <n v="0.29670999999999997"/>
    <n v="0.18226000000000001"/>
    <n v="6.3320000000000001E-2"/>
  </r>
  <r>
    <x v="79"/>
    <x v="1"/>
    <x v="357"/>
    <n v="1.2178800000000001"/>
    <n v="0.95025000000000004"/>
    <n v="0.63951999999999998"/>
    <n v="0.27995999999999999"/>
    <n v="0.17444999999999999"/>
    <n v="8.8900000000000007E-2"/>
  </r>
  <r>
    <x v="79"/>
    <x v="2"/>
    <x v="358"/>
    <n v="1.26074862480164"/>
    <n v="1.4047149419784499"/>
    <n v="0.63856697082519498"/>
    <n v="0.32570791244506803"/>
    <n v="0.153074786067009"/>
    <n v="7.3842726647853907E-2"/>
  </r>
  <r>
    <x v="79"/>
    <x v="3"/>
    <x v="359"/>
    <n v="1.1479999999999999"/>
    <n v="1.454"/>
    <n v="0.67100000000000004"/>
    <n v="0.36299999999999999"/>
    <n v="9.1999999999999998E-2"/>
    <n v="6.6000000000000003E-2"/>
  </r>
  <r>
    <x v="79"/>
    <x v="4"/>
    <x v="360"/>
    <n v="1.1870000000000001"/>
    <n v="1.4650000000000001"/>
    <n v="0.81200000000000006"/>
    <n v="0.26400000000000001"/>
    <n v="7.4999999999999997E-2"/>
    <n v="6.4000000000000001E-2"/>
  </r>
  <r>
    <x v="80"/>
    <x v="0"/>
    <x v="361"/>
    <n v="1.0256400000000001"/>
    <n v="0.80001"/>
    <n v="0.83947000000000005"/>
    <n v="0.33916000000000002"/>
    <n v="0.21854000000000001"/>
    <n v="4.582E-2"/>
  </r>
  <r>
    <x v="80"/>
    <x v="1"/>
    <x v="83"/>
    <n v="1.1226799999999999"/>
    <n v="0.64183999999999997"/>
    <n v="0.76171"/>
    <n v="0.26228000000000001"/>
    <n v="0.23693"/>
    <n v="3.0609999999999998E-2"/>
  </r>
  <r>
    <x v="80"/>
    <x v="2"/>
    <x v="362"/>
    <n v="1.0749875307083101"/>
    <n v="1.1296242475509599"/>
    <n v="0.73508107662200906"/>
    <n v="0.288515985012054"/>
    <n v="0.26445075869560197"/>
    <n v="3.7513829767704003E-2"/>
  </r>
  <r>
    <x v="80"/>
    <x v="3"/>
    <x v="244"/>
    <n v="0.96499999999999997"/>
    <n v="1.179"/>
    <n v="0.78500000000000003"/>
    <n v="0.503"/>
    <n v="0.214"/>
    <n v="0.13600000000000001"/>
  </r>
  <r>
    <x v="80"/>
    <x v="4"/>
    <x v="363"/>
    <n v="0.98699999999999999"/>
    <n v="1.224"/>
    <n v="0.81499999999999995"/>
    <n v="0.216"/>
    <n v="0.16600000000000001"/>
    <n v="2.7E-2"/>
  </r>
  <r>
    <x v="81"/>
    <x v="0"/>
    <x v="364"/>
    <n v="0.37545000000000001"/>
    <n v="1.0410299999999999"/>
    <n v="7.6119999999999993E-2"/>
    <n v="0.31767000000000001"/>
    <n v="0.16388"/>
    <n v="0.12504000000000001"/>
  </r>
  <r>
    <x v="81"/>
    <x v="2"/>
    <x v="365"/>
    <n v="0.52102124691009499"/>
    <n v="1.1900951862335201"/>
    <n v="0"/>
    <n v="0.39066129922866799"/>
    <n v="0.15749727189540899"/>
    <n v="0.11909464001655599"/>
  </r>
  <r>
    <x v="81"/>
    <x v="3"/>
    <x v="366"/>
    <n v="0.47199999999999998"/>
    <n v="1.2150000000000001"/>
    <n v="7.9000000000000001E-2"/>
    <n v="0.42299999999999999"/>
    <n v="0.11600000000000001"/>
    <n v="0.112"/>
  </r>
  <r>
    <x v="81"/>
    <x v="4"/>
    <x v="367"/>
    <n v="0.48899999999999999"/>
    <n v="1.169"/>
    <n v="0.16800000000000001"/>
    <n v="0.35899999999999999"/>
    <n v="0.107"/>
    <n v="9.2999999999999999E-2"/>
  </r>
  <r>
    <x v="82"/>
    <x v="0"/>
    <x v="368"/>
    <n v="7.1199999999999999E-2"/>
    <n v="0.78968000000000005"/>
    <n v="0.34200999999999998"/>
    <n v="0.28531000000000001"/>
    <n v="0.24362"/>
    <n v="6.232E-2"/>
  </r>
  <r>
    <x v="82"/>
    <x v="1"/>
    <x v="369"/>
    <n v="0.10706"/>
    <n v="0.50353000000000003"/>
    <n v="0.23164999999999999"/>
    <n v="0.25747999999999999"/>
    <n v="0.24063000000000001"/>
    <n v="4.8520000000000001E-2"/>
  </r>
  <r>
    <x v="82"/>
    <x v="2"/>
    <x v="370"/>
    <n v="0.119041793048382"/>
    <n v="0.87211793661117598"/>
    <n v="0.22991819679737099"/>
    <n v="0.33288118243217502"/>
    <n v="0.26654988527298001"/>
    <n v="3.8948249071836499E-2"/>
  </r>
  <r>
    <x v="82"/>
    <x v="3"/>
    <x v="371"/>
    <n v="7.5999999999999998E-2"/>
    <n v="0.85799999999999998"/>
    <n v="0.26700000000000002"/>
    <n v="0.41899999999999998"/>
    <n v="0.20599999999999999"/>
    <n v="0.03"/>
  </r>
  <r>
    <x v="82"/>
    <x v="4"/>
    <x v="372"/>
    <n v="7.2999999999999995E-2"/>
    <n v="0.92200000000000004"/>
    <n v="0.443"/>
    <n v="0.37"/>
    <n v="0.23300000000000001"/>
    <n v="3.3000000000000002E-2"/>
  </r>
  <r>
    <x v="83"/>
    <x v="0"/>
    <x v="373"/>
    <n v="1.1314500000000001"/>
    <n v="1.1186199999999999"/>
    <n v="0.70379999999999998"/>
    <n v="0.41667999999999999"/>
    <n v="0.18295"/>
    <n v="0.11022999999999999"/>
  </r>
  <r>
    <x v="83"/>
    <x v="1"/>
    <x v="374"/>
    <n v="1.0668800000000001"/>
    <n v="0.95076000000000005"/>
    <n v="0.52303999999999995"/>
    <n v="0.40672000000000003"/>
    <n v="0.17086999999999999"/>
    <n v="0.10339"/>
  </r>
  <r>
    <x v="83"/>
    <x v="2"/>
    <x v="375"/>
    <n v="1.1018030643463099"/>
    <n v="1.3575643301010101"/>
    <n v="0.52016901969909701"/>
    <n v="0.46573323011398299"/>
    <n v="0.15207366645336201"/>
    <n v="9.2610210180282607E-2"/>
  </r>
  <r>
    <x v="83"/>
    <x v="3"/>
    <x v="376"/>
    <n v="0.98499999999999999"/>
    <n v="1.35"/>
    <n v="0.55300000000000005"/>
    <n v="0.496"/>
    <n v="0.11600000000000001"/>
    <n v="0.14799999999999999"/>
  </r>
  <r>
    <x v="83"/>
    <x v="4"/>
    <x v="377"/>
    <n v="1.044"/>
    <n v="1.3029999999999999"/>
    <n v="0.67300000000000004"/>
    <n v="0.41599999999999998"/>
    <n v="0.13300000000000001"/>
    <n v="0.152"/>
  </r>
  <r>
    <x v="84"/>
    <x v="0"/>
    <x v="378"/>
    <n v="1.14723"/>
    <n v="1.25745"/>
    <n v="0.73128000000000004"/>
    <n v="0.21342"/>
    <n v="2.6409999999999999E-2"/>
    <n v="1.031E-2"/>
  </r>
  <r>
    <x v="84"/>
    <x v="1"/>
    <x v="54"/>
    <n v="1.2692000000000001"/>
    <n v="1.0641099999999999"/>
    <n v="0.64673999999999998"/>
    <n v="0.18929000000000001"/>
    <n v="2.0250000000000001E-2"/>
    <n v="1.8200000000000001E-2"/>
  </r>
  <r>
    <x v="84"/>
    <x v="2"/>
    <x v="379"/>
    <n v="1.3145823478698699"/>
    <n v="1.47351610660553"/>
    <n v="0.62894994020462003"/>
    <n v="0.23423178493976601"/>
    <n v="1.0164656676352E-2"/>
    <n v="1.18656428530812E-2"/>
  </r>
  <r>
    <x v="84"/>
    <x v="3"/>
    <x v="380"/>
    <n v="1.1970000000000001"/>
    <n v="1.5269999999999999"/>
    <n v="0.71599999999999997"/>
    <n v="0.35"/>
    <n v="2.5999999999999999E-2"/>
    <n v="6.0000000000000001E-3"/>
  </r>
  <r>
    <x v="84"/>
    <x v="4"/>
    <x v="381"/>
    <n v="1.238"/>
    <n v="1.5149999999999999"/>
    <n v="0.81799999999999995"/>
    <n v="0.29099999999999998"/>
    <n v="4.2999999999999997E-2"/>
    <n v="4.2000000000000003E-2"/>
  </r>
  <r>
    <x v="85"/>
    <x v="0"/>
    <x v="382"/>
    <n v="1.5639099999999999"/>
    <n v="1.21963"/>
    <n v="0.91893999999999998"/>
    <n v="0.61582999999999999"/>
    <n v="0.28033999999999998"/>
    <n v="0.37797999999999998"/>
  </r>
  <r>
    <x v="85"/>
    <x v="1"/>
    <x v="383"/>
    <n v="1.6975199999999999"/>
    <n v="1.03999"/>
    <n v="0.84541999999999995"/>
    <n v="0.54869999999999997"/>
    <n v="0.27571000000000001"/>
    <n v="0.35328999999999999"/>
  </r>
  <r>
    <x v="85"/>
    <x v="2"/>
    <x v="384"/>
    <n v="1.74194359779358"/>
    <n v="1.4575836658477801"/>
    <n v="0.84508949518203702"/>
    <n v="0.59662789106368996"/>
    <n v="0.283180981874466"/>
    <n v="0.31883442401885997"/>
  </r>
  <r>
    <x v="85"/>
    <x v="3"/>
    <x v="385"/>
    <n v="1.5760000000000001"/>
    <n v="1.52"/>
    <n v="0.89600000000000002"/>
    <n v="0.63200000000000001"/>
    <n v="0.19600000000000001"/>
    <n v="0.32100000000000001"/>
  </r>
  <r>
    <x v="85"/>
    <x v="4"/>
    <x v="386"/>
    <n v="1.609"/>
    <n v="1.4790000000000001"/>
    <n v="1.012"/>
    <n v="0.52600000000000002"/>
    <n v="0.19400000000000001"/>
    <n v="0.316"/>
  </r>
  <r>
    <x v="86"/>
    <x v="0"/>
    <x v="387"/>
    <n v="0.91851000000000005"/>
    <n v="1.0023200000000001"/>
    <n v="0.73545000000000005"/>
    <n v="0.33456999999999998"/>
    <n v="0.22359000000000001"/>
    <n v="5.3269999999999998E-2"/>
  </r>
  <r>
    <x v="86"/>
    <x v="1"/>
    <x v="388"/>
    <n v="1.0193000000000001"/>
    <n v="0.78236000000000006"/>
    <n v="0.64737999999999996"/>
    <n v="0.27667999999999998"/>
    <n v="0.23507"/>
    <n v="7.0470000000000005E-2"/>
  </r>
  <r>
    <x v="86"/>
    <x v="2"/>
    <x v="389"/>
    <n v="1.0645779371261599"/>
    <n v="1.2078930139541599"/>
    <n v="0.64494818449020397"/>
    <n v="0.32590597867965698"/>
    <n v="0.25376096367835999"/>
    <n v="6.0277793556451797E-2"/>
  </r>
  <r>
    <x v="86"/>
    <x v="3"/>
    <x v="349"/>
    <n v="0.95899999999999996"/>
    <n v="1.2390000000000001"/>
    <n v="0.69099999999999995"/>
    <n v="0.39400000000000002"/>
    <n v="0.17299999999999999"/>
    <n v="5.1999999999999998E-2"/>
  </r>
  <r>
    <x v="87"/>
    <x v="0"/>
    <x v="390"/>
    <n v="0.20824000000000001"/>
    <n v="0.66800999999999999"/>
    <n v="0.46721000000000001"/>
    <n v="0.19184000000000001"/>
    <n v="0.21332999999999999"/>
    <n v="8.1240000000000007E-2"/>
  </r>
  <r>
    <x v="87"/>
    <x v="1"/>
    <x v="391"/>
    <n v="0.27954000000000001"/>
    <n v="0.46115"/>
    <n v="0.37108999999999998"/>
    <n v="0.13683999999999999"/>
    <n v="0.22040000000000001"/>
    <n v="7.5060000000000002E-2"/>
  </r>
  <r>
    <x v="87"/>
    <x v="2"/>
    <x v="392"/>
    <n v="0.30580869317054699"/>
    <n v="0.91302037239074696"/>
    <n v="0.375223308801651"/>
    <n v="0.18919676542282099"/>
    <n v="0.208732530474663"/>
    <n v="6.7231975495815305E-2"/>
  </r>
  <r>
    <x v="87"/>
    <x v="3"/>
    <x v="393"/>
    <n v="0.26200000000000001"/>
    <n v="0.90800000000000003"/>
    <n v="0.40200000000000002"/>
    <n v="0.221"/>
    <n v="0.155"/>
    <n v="4.9000000000000002E-2"/>
  </r>
  <r>
    <x v="87"/>
    <x v="4"/>
    <x v="394"/>
    <n v="0.27400000000000002"/>
    <n v="0.91600000000000004"/>
    <n v="0.55500000000000005"/>
    <n v="0.14799999999999999"/>
    <n v="0.16900000000000001"/>
    <n v="4.1000000000000002E-2"/>
  </r>
  <r>
    <x v="88"/>
    <x v="0"/>
    <x v="395"/>
    <n v="1.6039999999999999E-2"/>
    <n v="0.41133999999999998"/>
    <n v="0.22561999999999999"/>
    <n v="0.43053999999999998"/>
    <n v="0.33128000000000002"/>
    <n v="6.9769999999999999E-2"/>
  </r>
  <r>
    <x v="88"/>
    <x v="1"/>
    <x v="396"/>
    <n v="8.7090000000000001E-2"/>
    <n v="0.14699999999999999"/>
    <n v="0.29364000000000001"/>
    <n v="0.4143"/>
    <n v="0.30968000000000001"/>
    <n v="7.5639999999999999E-2"/>
  </r>
  <r>
    <x v="88"/>
    <x v="2"/>
    <x v="397"/>
    <n v="0.233442038297653"/>
    <n v="0.51256883144378695"/>
    <n v="0.31508958339691201"/>
    <n v="0.46691465377807601"/>
    <n v="0.287170469760895"/>
    <n v="7.2711654007434803E-2"/>
  </r>
  <r>
    <x v="88"/>
    <x v="3"/>
    <x v="100"/>
    <n v="0.186"/>
    <n v="0.54100000000000004"/>
    <n v="0.30599999999999999"/>
    <n v="0.53100000000000003"/>
    <n v="0.21"/>
    <n v="0.08"/>
  </r>
  <r>
    <x v="88"/>
    <x v="4"/>
    <x v="398"/>
    <n v="0.191"/>
    <n v="0.56000000000000005"/>
    <n v="0.495"/>
    <n v="0.443"/>
    <n v="0.218"/>
    <n v="8.8999999999999996E-2"/>
  </r>
  <r>
    <x v="89"/>
    <x v="0"/>
    <x v="399"/>
    <n v="1.12486"/>
    <n v="1.07023"/>
    <n v="0.72394000000000003"/>
    <n v="0.53024000000000004"/>
    <n v="0.33074999999999999"/>
    <n v="0.10501000000000001"/>
  </r>
  <r>
    <x v="89"/>
    <x v="1"/>
    <x v="400"/>
    <n v="1.25142"/>
    <n v="0.88024999999999998"/>
    <n v="0.62365999999999999"/>
    <n v="0.39030999999999999"/>
    <n v="0.41474"/>
    <n v="9.0810000000000002E-2"/>
  </r>
  <r>
    <x v="89"/>
    <x v="2"/>
    <x v="401"/>
    <n v="1.29121541976929"/>
    <n v="1.28464603424072"/>
    <n v="0.61878442764282204"/>
    <n v="0.40226498246192899"/>
    <n v="0.41660892963409402"/>
    <n v="6.5600708127021803E-2"/>
  </r>
  <r>
    <x v="89"/>
    <x v="3"/>
    <x v="402"/>
    <n v="1.161"/>
    <n v="1.258"/>
    <n v="0.66900000000000004"/>
    <n v="0.35599999999999998"/>
    <n v="0.311"/>
    <n v="5.8999999999999997E-2"/>
  </r>
  <r>
    <x v="89"/>
    <x v="4"/>
    <x v="403"/>
    <n v="1.2210000000000001"/>
    <n v="1.171"/>
    <n v="0.82799999999999996"/>
    <n v="0.50800000000000001"/>
    <n v="0.26"/>
    <n v="2.4E-2"/>
  </r>
  <r>
    <x v="90"/>
    <x v="0"/>
    <x v="404"/>
    <n v="0.26074000000000003"/>
    <n v="1.0352600000000001"/>
    <n v="0.20583000000000001"/>
    <n v="0.38857000000000003"/>
    <n v="0.18798000000000001"/>
    <n v="0.12352"/>
  </r>
  <r>
    <x v="90"/>
    <x v="1"/>
    <x v="405"/>
    <n v="0.31291999999999998"/>
    <n v="0.86333000000000004"/>
    <n v="0.16347"/>
    <n v="0.27544000000000002"/>
    <n v="0.21063999999999999"/>
    <n v="0.13647000000000001"/>
  </r>
  <r>
    <x v="90"/>
    <x v="2"/>
    <x v="406"/>
    <n v="0.47618049383163502"/>
    <n v="1.2814733982086199"/>
    <n v="0.169365674257278"/>
    <n v="0.30661374330520602"/>
    <n v="0.18335419893264801"/>
    <n v="0.10497024655342101"/>
  </r>
  <r>
    <x v="90"/>
    <x v="3"/>
    <x v="407"/>
    <n v="0.37"/>
    <n v="1.2330000000000001"/>
    <n v="0.152"/>
    <n v="0.36699999999999999"/>
    <n v="0.13900000000000001"/>
    <n v="5.6000000000000001E-2"/>
  </r>
  <r>
    <x v="90"/>
    <x v="4"/>
    <x v="408"/>
    <n v="0.38500000000000001"/>
    <n v="1.105"/>
    <n v="0.308"/>
    <n v="0.32700000000000001"/>
    <n v="0.153"/>
    <n v="5.1999999999999998E-2"/>
  </r>
  <r>
    <x v="91"/>
    <x v="0"/>
    <x v="409"/>
    <n v="1.2074"/>
    <n v="1.30203"/>
    <n v="0.88721000000000005"/>
    <n v="0.60365000000000002"/>
    <n v="0.51751999999999998"/>
    <n v="0.13586000000000001"/>
  </r>
  <r>
    <x v="91"/>
    <x v="1"/>
    <x v="410"/>
    <n v="1.30782"/>
    <n v="1.0987899999999999"/>
    <n v="0.80315000000000003"/>
    <n v="0.54993999999999998"/>
    <n v="0.56237000000000004"/>
    <n v="0.17554"/>
  </r>
  <r>
    <x v="91"/>
    <x v="2"/>
    <x v="411"/>
    <n v="1.3432798385620099"/>
    <n v="1.4884116649627701"/>
    <n v="0.82194423675537098"/>
    <n v="0.58876705169677701"/>
    <n v="0.57473057508468595"/>
    <n v="0.15306606888771099"/>
  </r>
  <r>
    <x v="91"/>
    <x v="3"/>
    <x v="412"/>
    <n v="1.27"/>
    <n v="1.5249999999999999"/>
    <n v="0.88400000000000001"/>
    <n v="0.64500000000000002"/>
    <n v="0.376"/>
    <n v="0.14199999999999999"/>
  </r>
  <r>
    <x v="91"/>
    <x v="4"/>
    <x v="413"/>
    <n v="1.3"/>
    <n v="1.52"/>
    <n v="0.999"/>
    <n v="0.56399999999999995"/>
    <n v="0.375"/>
    <n v="0.151"/>
  </r>
  <r>
    <x v="92"/>
    <x v="0"/>
    <x v="414"/>
    <n v="0.45406999999999997"/>
    <n v="0.86907999999999996"/>
    <n v="0.35874"/>
    <n v="0.24232000000000001"/>
    <n v="0.219"/>
    <n v="0.17460999999999999"/>
  </r>
  <r>
    <x v="92"/>
    <x v="1"/>
    <x v="415"/>
    <n v="0.61390999999999996"/>
    <n v="0.84141999999999995"/>
    <n v="0.28638999999999998"/>
    <n v="0.1268"/>
    <n v="0.22686000000000001"/>
    <n v="0.17954999999999999"/>
  </r>
  <r>
    <x v="92"/>
    <x v="2"/>
    <x v="416"/>
    <n v="0.64845728874206499"/>
    <n v="1.2720308303832999"/>
    <n v="0.28534927964210499"/>
    <n v="9.6098043024539906E-2"/>
    <n v="0.20187002420425401"/>
    <n v="0.13695700466632801"/>
  </r>
  <r>
    <x v="92"/>
    <x v="3"/>
    <x v="334"/>
    <n v="0.55700000000000005"/>
    <n v="1.2450000000000001"/>
    <n v="0.29199999999999998"/>
    <n v="0.129"/>
    <n v="0.13400000000000001"/>
    <n v="9.2999999999999999E-2"/>
  </r>
  <r>
    <x v="92"/>
    <x v="4"/>
    <x v="417"/>
    <n v="0.56999999999999995"/>
    <n v="1.167"/>
    <n v="0.48899999999999999"/>
    <n v="6.6000000000000003E-2"/>
    <n v="0.106"/>
    <n v="8.7999999999999995E-2"/>
  </r>
  <r>
    <x v="93"/>
    <x v="0"/>
    <x v="418"/>
    <n v="1.0076099999999999"/>
    <n v="0.98521000000000003"/>
    <n v="0.70950000000000002"/>
    <n v="0.56066000000000005"/>
    <n v="0.37744"/>
    <n v="7.5209999999999999E-2"/>
  </r>
  <r>
    <x v="93"/>
    <x v="1"/>
    <x v="419"/>
    <n v="1.1437200000000001"/>
    <n v="0.75695000000000001"/>
    <n v="0.66188999999999998"/>
    <n v="0.46145000000000003"/>
    <n v="0.36951000000000001"/>
    <n v="5.203E-2"/>
  </r>
  <r>
    <x v="93"/>
    <x v="2"/>
    <x v="420"/>
    <n v="1.1893955469131501"/>
    <n v="1.20956099033356"/>
    <n v="0.63800746202468905"/>
    <n v="0.49124732613563499"/>
    <n v="0.36093375086784402"/>
    <n v="4.2181555181741701E-2"/>
  </r>
  <r>
    <x v="93"/>
    <x v="3"/>
    <x v="421"/>
    <n v="1.0900000000000001"/>
    <n v="1.387"/>
    <n v="0.68400000000000005"/>
    <n v="0.58399999999999996"/>
    <n v="0.245"/>
    <n v="0.05"/>
  </r>
  <r>
    <x v="93"/>
    <x v="4"/>
    <x v="422"/>
    <n v="1.1200000000000001"/>
    <n v="1.4019999999999999"/>
    <n v="0.79800000000000004"/>
    <n v="0.498"/>
    <n v="0.215"/>
    <n v="0.06"/>
  </r>
  <r>
    <x v="94"/>
    <x v="0"/>
    <x v="423"/>
    <n v="1.02054"/>
    <n v="0.91451000000000005"/>
    <n v="0.81444000000000005"/>
    <n v="0.48181000000000002"/>
    <n v="0.14074"/>
    <n v="0.21312"/>
  </r>
  <r>
    <x v="94"/>
    <x v="1"/>
    <x v="424"/>
    <n v="1.1150800000000001"/>
    <n v="0.71460000000000001"/>
    <n v="0.71143000000000001"/>
    <n v="0.37708999999999998"/>
    <n v="0.11735"/>
    <n v="0.18354999999999999"/>
  </r>
  <r>
    <x v="94"/>
    <x v="2"/>
    <x v="425"/>
    <n v="1.1531838178634599"/>
    <n v="1.2108621597289999"/>
    <n v="0.70997899770736705"/>
    <n v="0.41273000836372398"/>
    <n v="0.120990432798862"/>
    <n v="0.13277411460876501"/>
  </r>
  <r>
    <x v="94"/>
    <x v="3"/>
    <x v="410"/>
    <n v="1.038"/>
    <n v="1.252"/>
    <n v="0.76100000000000001"/>
    <n v="0.47899999999999998"/>
    <n v="6.9000000000000006E-2"/>
    <n v="9.5000000000000001E-2"/>
  </r>
  <r>
    <x v="94"/>
    <x v="4"/>
    <x v="426"/>
    <n v="1.07"/>
    <n v="1.323"/>
    <n v="0.86099999999999999"/>
    <n v="0.433"/>
    <n v="7.3999999999999996E-2"/>
    <n v="7.2999999999999995E-2"/>
  </r>
  <r>
    <x v="95"/>
    <x v="0"/>
    <x v="427"/>
    <n v="0.59448000000000001"/>
    <n v="1.01528"/>
    <n v="0.61826000000000003"/>
    <n v="0.32818000000000003"/>
    <n v="0.20951"/>
    <n v="1.6150000000000001E-2"/>
  </r>
  <r>
    <x v="95"/>
    <x v="1"/>
    <x v="428"/>
    <n v="0.69177"/>
    <n v="0.83131999999999995"/>
    <n v="0.52309000000000005"/>
    <n v="0.25202000000000002"/>
    <n v="0.19997000000000001"/>
    <n v="1.9029999999999998E-2"/>
  </r>
  <r>
    <x v="95"/>
    <x v="2"/>
    <x v="429"/>
    <n v="0.728870630264282"/>
    <n v="1.25182557106018"/>
    <n v="0.58946520090103105"/>
    <n v="0.24072904884815199"/>
    <n v="0.208779126405716"/>
    <n v="1.00912861526012E-2"/>
  </r>
  <r>
    <x v="95"/>
    <x v="3"/>
    <x v="430"/>
    <n v="0.65700000000000003"/>
    <n v="1.3009999999999999"/>
    <n v="0.62"/>
    <n v="0.23200000000000001"/>
    <n v="0.17100000000000001"/>
    <n v="0"/>
  </r>
  <r>
    <x v="95"/>
    <x v="4"/>
    <x v="431"/>
    <n v="0.68500000000000005"/>
    <n v="1.3280000000000001"/>
    <n v="0.73899999999999999"/>
    <n v="0.245"/>
    <n v="0.18099999999999999"/>
    <n v="0"/>
  </r>
  <r>
    <x v="96"/>
    <x v="0"/>
    <x v="432"/>
    <n v="0.82818999999999998"/>
    <n v="1.3006"/>
    <n v="0.60267999999999999"/>
    <n v="0.43625999999999998"/>
    <n v="0.33229999999999998"/>
    <n v="2.666E-2"/>
  </r>
  <r>
    <x v="96"/>
    <x v="1"/>
    <x v="433"/>
    <n v="0.98853000000000002"/>
    <n v="1.0898300000000001"/>
    <n v="0.55469000000000002"/>
    <n v="0.35971999999999998"/>
    <n v="0.34538999999999997"/>
    <n v="3.2849999999999997E-2"/>
  </r>
  <r>
    <x v="96"/>
    <x v="2"/>
    <x v="434"/>
    <n v="1.0272358655929601"/>
    <n v="1.4930112361907999"/>
    <n v="0.55778348445892301"/>
    <n v="0.39414396882057201"/>
    <n v="0.33846423029899603"/>
    <n v="3.2902289181947701E-2"/>
  </r>
  <r>
    <x v="96"/>
    <x v="3"/>
    <x v="435"/>
    <n v="0.91400000000000003"/>
    <n v="1.5169999999999999"/>
    <n v="0.57499999999999996"/>
    <n v="0.39500000000000002"/>
    <n v="0.253"/>
    <n v="3.2000000000000001E-2"/>
  </r>
  <r>
    <x v="96"/>
    <x v="4"/>
    <x v="436"/>
    <n v="0.94799999999999995"/>
    <n v="1.5309999999999999"/>
    <n v="0.66700000000000004"/>
    <n v="0.317"/>
    <n v="0.23499999999999999"/>
    <n v="3.7999999999999999E-2"/>
  </r>
  <r>
    <x v="97"/>
    <x v="0"/>
    <x v="289"/>
    <n v="0.97438000000000002"/>
    <n v="0.90556999999999999"/>
    <n v="0.72521000000000002"/>
    <n v="0.18260000000000001"/>
    <n v="0.16139999999999999"/>
    <n v="0.14296"/>
  </r>
  <r>
    <x v="97"/>
    <x v="1"/>
    <x v="327"/>
    <n v="1.0783799999999999"/>
    <n v="0.74173"/>
    <n v="0.63532999999999995"/>
    <n v="0.15110999999999999"/>
    <n v="0.17191000000000001"/>
    <n v="0.12720999999999999"/>
  </r>
  <r>
    <x v="97"/>
    <x v="2"/>
    <x v="437"/>
    <n v="1.1211290359497099"/>
    <n v="1.23837649822235"/>
    <n v="0.66746467351913497"/>
    <n v="0.19498905539512601"/>
    <n v="0.19791102409362801"/>
    <n v="8.8174194097518893E-2"/>
  </r>
  <r>
    <x v="97"/>
    <x v="3"/>
    <x v="438"/>
    <n v="1.0169999999999999"/>
    <n v="1.2789999999999999"/>
    <n v="0.72899999999999998"/>
    <n v="0.25900000000000001"/>
    <n v="0.111"/>
    <n v="8.1000000000000003E-2"/>
  </r>
  <r>
    <x v="97"/>
    <x v="4"/>
    <x v="439"/>
    <n v="1.0509999999999999"/>
    <n v="1.361"/>
    <n v="0.871"/>
    <n v="0.19700000000000001"/>
    <n v="0.14199999999999999"/>
    <n v="0.08"/>
  </r>
  <r>
    <x v="98"/>
    <x v="0"/>
    <x v="440"/>
    <n v="0.73479000000000005"/>
    <n v="0.64095000000000002"/>
    <n v="0.60953999999999997"/>
    <n v="0.41691"/>
    <n v="7.1720000000000006E-2"/>
    <n v="8.5459999999999994E-2"/>
  </r>
  <r>
    <x v="98"/>
    <x v="1"/>
    <x v="441"/>
    <n v="0.84057999999999999"/>
    <n v="0.38595000000000002"/>
    <n v="0.59470999999999996"/>
    <n v="0.25646000000000002"/>
    <n v="4.0529999999999997E-2"/>
    <n v="8.4040000000000004E-2"/>
  </r>
  <r>
    <x v="98"/>
    <x v="2"/>
    <x v="442"/>
    <n v="0.87811458110809304"/>
    <n v="0.77486443519592296"/>
    <n v="0.59771066904068004"/>
    <n v="0.40815833210945102"/>
    <n v="3.2209955155849498E-2"/>
    <n v="8.7763182818889604E-2"/>
  </r>
  <r>
    <x v="98"/>
    <x v="3"/>
    <x v="443"/>
    <n v="0.77900000000000003"/>
    <n v="0.79700000000000004"/>
    <n v="0.66900000000000004"/>
    <n v="0.46"/>
    <n v="2.5999999999999999E-2"/>
    <n v="7.3999999999999996E-2"/>
  </r>
  <r>
    <x v="98"/>
    <x v="4"/>
    <x v="43"/>
    <n v="0.80100000000000005"/>
    <n v="0.78200000000000003"/>
    <n v="0.78200000000000003"/>
    <n v="0.41799999999999998"/>
    <n v="3.5999999999999997E-2"/>
    <n v="7.5999999999999998E-2"/>
  </r>
  <r>
    <x v="99"/>
    <x v="0"/>
    <x v="444"/>
    <n v="8.3080000000000001E-2"/>
    <n v="1.02626"/>
    <n v="9.1310000000000002E-2"/>
    <n v="0.34037000000000001"/>
    <n v="0.22269"/>
    <n v="0.15603"/>
  </r>
  <r>
    <x v="99"/>
    <x v="2"/>
    <x v="445"/>
    <n v="0.234305649995804"/>
    <n v="0.87070101499557495"/>
    <n v="0.106654435396194"/>
    <n v="0.48079109191894498"/>
    <n v="0.322228103876114"/>
    <n v="0.179436385631561"/>
  </r>
  <r>
    <x v="99"/>
    <x v="3"/>
    <x v="446"/>
    <n v="0.19800000000000001"/>
    <n v="0.90200000000000002"/>
    <n v="0.17299999999999999"/>
    <n v="0.53100000000000003"/>
    <n v="0.20599999999999999"/>
    <n v="0.158"/>
  </r>
  <r>
    <x v="99"/>
    <x v="4"/>
    <x v="447"/>
    <n v="0.20399999999999999"/>
    <n v="0.98599999999999999"/>
    <n v="0.39"/>
    <n v="0.49399999999999999"/>
    <n v="0.19700000000000001"/>
    <n v="0.13800000000000001"/>
  </r>
  <r>
    <x v="100"/>
    <x v="0"/>
    <x v="448"/>
    <n v="0.27107999999999999"/>
    <n v="0.70904999999999996"/>
    <n v="0.48246"/>
    <n v="0.44017000000000001"/>
    <n v="0.79588000000000003"/>
    <n v="0.19034000000000001"/>
  </r>
  <r>
    <x v="100"/>
    <x v="1"/>
    <x v="449"/>
    <n v="0.34111999999999998"/>
    <n v="0.69981000000000004"/>
    <n v="0.39879999999999999"/>
    <n v="0.42692000000000002"/>
    <n v="0.81971000000000005"/>
    <n v="0.20243"/>
  </r>
  <r>
    <x v="100"/>
    <x v="2"/>
    <x v="450"/>
    <n v="0.36711055040359503"/>
    <n v="1.12323594093323"/>
    <n v="0.39752256870269798"/>
    <n v="0.51449203491210904"/>
    <n v="0.83807516098022505"/>
    <n v="0.18881620466709101"/>
  </r>
  <r>
    <x v="100"/>
    <x v="3"/>
    <x v="451"/>
    <n v="0.68200000000000005"/>
    <n v="1.1739999999999999"/>
    <n v="0.42899999999999999"/>
    <n v="0.57999999999999996"/>
    <n v="0.59799999999999998"/>
    <n v="0.17799999999999999"/>
  </r>
  <r>
    <x v="100"/>
    <x v="4"/>
    <x v="25"/>
    <n v="0.71"/>
    <n v="1.181"/>
    <n v="0.55500000000000005"/>
    <n v="0.52500000000000002"/>
    <n v="0.56599999999999995"/>
    <n v="0.17199999999999999"/>
  </r>
  <r>
    <x v="101"/>
    <x v="1"/>
    <x v="452"/>
    <n v="0.93286999999999998"/>
    <n v="0.70362000000000002"/>
    <n v="0.34744999999999998"/>
    <n v="0.48614000000000002"/>
    <n v="7.7950000000000005E-2"/>
    <n v="0.10398"/>
  </r>
  <r>
    <x v="101"/>
    <x v="2"/>
    <x v="453"/>
    <n v="0.96443432569503795"/>
    <n v="1.0984708070755"/>
    <n v="0.33861181139946001"/>
    <n v="0.52030354738235496"/>
    <n v="7.7133744955062894E-2"/>
    <n v="9.3146972358226804E-2"/>
  </r>
  <r>
    <x v="101"/>
    <x v="3"/>
    <x v="454"/>
    <n v="0.874"/>
    <n v="1.2809999999999999"/>
    <n v="0.36499999999999999"/>
    <n v="0.51900000000000002"/>
    <n v="5.0999999999999997E-2"/>
    <n v="6.4000000000000001E-2"/>
  </r>
  <r>
    <x v="101"/>
    <x v="4"/>
    <x v="455"/>
    <n v="0.879"/>
    <n v="1.3129999999999999"/>
    <n v="0.47699999999999998"/>
    <n v="0.40100000000000002"/>
    <n v="7.0000000000000007E-2"/>
    <n v="5.6000000000000001E-2"/>
  </r>
  <r>
    <x v="102"/>
    <x v="0"/>
    <x v="456"/>
    <n v="0.35997000000000001"/>
    <n v="0.86448999999999998"/>
    <n v="0.56874000000000002"/>
    <n v="0.38281999999999999"/>
    <n v="0.32296000000000002"/>
    <n v="5.9069999999999998E-2"/>
  </r>
  <r>
    <x v="102"/>
    <x v="1"/>
    <x v="457"/>
    <n v="0.44625999999999999"/>
    <n v="0.69699"/>
    <n v="0.50073000000000001"/>
    <n v="0.37012"/>
    <n v="0.38159999999999999"/>
    <n v="7.0080000000000003E-2"/>
  </r>
  <r>
    <x v="102"/>
    <x v="2"/>
    <x v="458"/>
    <n v="0.47982019186019897"/>
    <n v="1.17928326129913"/>
    <n v="0.50413078069686901"/>
    <n v="0.44030594825744601"/>
    <n v="0.39409616589546198"/>
    <n v="7.2975546121597304E-2"/>
  </r>
  <r>
    <x v="102"/>
    <x v="3"/>
    <x v="459"/>
    <n v="0.42499999999999999"/>
    <n v="1.228"/>
    <n v="0.53900000000000003"/>
    <n v="0.52600000000000002"/>
    <n v="0.30199999999999999"/>
    <n v="7.8E-2"/>
  </r>
  <r>
    <x v="102"/>
    <x v="4"/>
    <x v="460"/>
    <n v="0.44600000000000001"/>
    <n v="1.226"/>
    <n v="0.67700000000000005"/>
    <n v="0.439"/>
    <n v="0.28499999999999998"/>
    <n v="8.8999999999999996E-2"/>
  </r>
  <r>
    <x v="103"/>
    <x v="0"/>
    <x v="461"/>
    <n v="1.32944"/>
    <n v="1.28017"/>
    <n v="0.89283999999999997"/>
    <n v="0.61575999999999997"/>
    <n v="0.47610000000000002"/>
    <n v="0.31813999999999998"/>
  </r>
  <r>
    <x v="103"/>
    <x v="1"/>
    <x v="462"/>
    <n v="1.46468"/>
    <n v="1.02912"/>
    <n v="0.81230999999999998"/>
    <n v="0.55210999999999999"/>
    <n v="0.47416000000000003"/>
    <n v="0.29926999999999998"/>
  </r>
  <r>
    <x v="103"/>
    <x v="2"/>
    <x v="463"/>
    <n v="1.50394463539124"/>
    <n v="1.42893922328949"/>
    <n v="0.81069612503051802"/>
    <n v="0.58538448810577404"/>
    <n v="0.47048982977867099"/>
    <n v="0.28266182541847201"/>
  </r>
  <r>
    <x v="103"/>
    <x v="3"/>
    <x v="464"/>
    <n v="1.361"/>
    <n v="1.488"/>
    <n v="0.878"/>
    <n v="0.63800000000000001"/>
    <n v="0.33300000000000002"/>
    <n v="0.29499999999999998"/>
  </r>
  <r>
    <x v="103"/>
    <x v="4"/>
    <x v="465"/>
    <n v="1.3959999999999999"/>
    <n v="1.522"/>
    <n v="0.999"/>
    <n v="0.55700000000000005"/>
    <n v="0.32200000000000001"/>
    <n v="0.29799999999999999"/>
  </r>
  <r>
    <x v="104"/>
    <x v="0"/>
    <x v="466"/>
    <n v="1.2501800000000001"/>
    <n v="1.3196699999999999"/>
    <n v="0.90837000000000001"/>
    <n v="0.63937999999999995"/>
    <n v="0.47500999999999999"/>
    <n v="0.42921999999999999"/>
  </r>
  <r>
    <x v="104"/>
    <x v="1"/>
    <x v="467"/>
    <n v="1.36066"/>
    <n v="1.1727799999999999"/>
    <n v="0.83096000000000003"/>
    <n v="0.58147000000000004"/>
    <n v="0.49401"/>
    <n v="0.41904000000000002"/>
  </r>
  <r>
    <x v="104"/>
    <x v="2"/>
    <x v="468"/>
    <n v="1.40570604801178"/>
    <n v="1.54819512367249"/>
    <n v="0.81675970554351796"/>
    <n v="0.61406213045120195"/>
    <n v="0.50000512599945102"/>
    <n v="0.382816702127457"/>
  </r>
  <r>
    <x v="104"/>
    <x v="3"/>
    <x v="469"/>
    <n v="1.268"/>
    <n v="1.601"/>
    <n v="0.876"/>
    <n v="0.66900000000000004"/>
    <n v="0.36499999999999999"/>
    <n v="0.38900000000000001"/>
  </r>
  <r>
    <x v="104"/>
    <x v="4"/>
    <x v="470"/>
    <n v="1.3029999999999999"/>
    <n v="1.5569999999999999"/>
    <n v="1.026"/>
    <n v="0.58499999999999996"/>
    <n v="0.33"/>
    <n v="0.38"/>
  </r>
  <r>
    <x v="105"/>
    <x v="0"/>
    <x v="471"/>
    <n v="0.59325000000000006"/>
    <n v="1.14184"/>
    <n v="0.74314000000000002"/>
    <n v="0.55474999999999997"/>
    <n v="0.27815000000000001"/>
    <n v="0.19317000000000001"/>
  </r>
  <r>
    <x v="105"/>
    <x v="1"/>
    <x v="472"/>
    <n v="0.69384000000000001"/>
    <n v="0.89520999999999995"/>
    <n v="0.65212999999999999"/>
    <n v="0.46582000000000001"/>
    <n v="0.29772999999999999"/>
    <n v="0.16292000000000001"/>
  </r>
  <r>
    <x v="105"/>
    <x v="2"/>
    <x v="473"/>
    <n v="0.737299203872681"/>
    <n v="1.28721570968628"/>
    <n v="0.65309596061706499"/>
    <n v="0.44755184650421098"/>
    <n v="0.30167421698570301"/>
    <n v="0.130687981843948"/>
  </r>
  <r>
    <x v="105"/>
    <x v="3"/>
    <x v="474"/>
    <n v="0.66800000000000004"/>
    <n v="1.319"/>
    <n v="0.7"/>
    <n v="0.52700000000000002"/>
    <n v="0.20799999999999999"/>
    <n v="0.128"/>
  </r>
  <r>
    <x v="105"/>
    <x v="4"/>
    <x v="47"/>
    <n v="0.69399999999999995"/>
    <n v="1.325"/>
    <n v="0.83499999999999996"/>
    <n v="0.435"/>
    <n v="0.2"/>
    <n v="0.127"/>
  </r>
  <r>
    <x v="106"/>
    <x v="0"/>
    <x v="475"/>
    <n v="6.9400000000000003E-2"/>
    <n v="0.77264999999999995"/>
    <n v="0.29707"/>
    <n v="0.47692000000000001"/>
    <n v="0.19386999999999999"/>
    <n v="0.15639"/>
  </r>
  <r>
    <x v="106"/>
    <x v="1"/>
    <x v="476"/>
    <n v="0.13270000000000001"/>
    <n v="0.60529999999999995"/>
    <n v="0.26162000000000002"/>
    <n v="0.38041000000000003"/>
    <n v="0.2097"/>
    <n v="0.17176"/>
  </r>
  <r>
    <x v="106"/>
    <x v="2"/>
    <x v="477"/>
    <n v="0.16192533075809501"/>
    <n v="0.99302500486373901"/>
    <n v="0.26850500702857999"/>
    <n v="0.36365869641303999"/>
    <n v="0.228673845529556"/>
    <n v="0.13857294619083399"/>
  </r>
  <r>
    <x v="106"/>
    <x v="3"/>
    <x v="196"/>
    <n v="0.13100000000000001"/>
    <n v="0.86699999999999999"/>
    <n v="0.221"/>
    <n v="0.39"/>
    <n v="0.17499999999999999"/>
    <n v="9.9000000000000005E-2"/>
  </r>
  <r>
    <x v="106"/>
    <x v="4"/>
    <x v="478"/>
    <n v="0.13800000000000001"/>
    <n v="0.77400000000000002"/>
    <n v="0.36599999999999999"/>
    <n v="0.318"/>
    <n v="0.188"/>
    <n v="0.10199999999999999"/>
  </r>
  <r>
    <x v="107"/>
    <x v="0"/>
    <x v="479"/>
    <n v="0.65434999999999999"/>
    <n v="0.90432000000000001"/>
    <n v="0.16006999999999999"/>
    <n v="0.34333999999999998"/>
    <n v="0.27233000000000002"/>
    <n v="4.0300000000000002E-2"/>
  </r>
  <r>
    <x v="107"/>
    <x v="1"/>
    <x v="480"/>
    <n v="0.75216000000000005"/>
    <n v="0.64498"/>
    <n v="5.108E-2"/>
    <n v="0.27854000000000001"/>
    <n v="0.23219000000000001"/>
    <n v="3.0499999999999999E-2"/>
  </r>
  <r>
    <x v="107"/>
    <x v="2"/>
    <x v="481"/>
    <n v="0.78375625610351596"/>
    <n v="1.21577048301697"/>
    <n v="5.6915730237960802E-2"/>
    <n v="0.39495256543159502"/>
    <n v="0.23094719648361201"/>
    <n v="2.61215660721064E-2"/>
  </r>
  <r>
    <x v="107"/>
    <x v="3"/>
    <x v="183"/>
    <n v="0.68899999999999995"/>
    <n v="1.1719999999999999"/>
    <n v="4.8000000000000001E-2"/>
    <n v="0.46200000000000002"/>
    <n v="0.20100000000000001"/>
    <n v="3.2000000000000001E-2"/>
  </r>
  <r>
    <x v="107"/>
    <x v="4"/>
    <x v="482"/>
    <n v="0.69599999999999995"/>
    <n v="1.111"/>
    <n v="0.245"/>
    <n v="0.42599999999999999"/>
    <n v="0.215"/>
    <n v="4.1000000000000002E-2"/>
  </r>
  <r>
    <x v="108"/>
    <x v="0"/>
    <x v="483"/>
    <n v="1.2080599999999999"/>
    <n v="1.0700799999999999"/>
    <n v="0.92356000000000005"/>
    <n v="0.49026999999999998"/>
    <n v="0.26168999999999998"/>
    <n v="0.14280000000000001"/>
  </r>
  <r>
    <x v="108"/>
    <x v="1"/>
    <x v="484"/>
    <n v="1.31141"/>
    <n v="0.81825999999999999"/>
    <n v="0.84141999999999995"/>
    <n v="0.43596000000000001"/>
    <n v="0.26322000000000001"/>
    <n v="0.16578000000000001"/>
  </r>
  <r>
    <x v="108"/>
    <x v="2"/>
    <x v="485"/>
    <n v="1.3469113111496001"/>
    <n v="1.1863033771514899"/>
    <n v="0.83464723825454701"/>
    <n v="0.47120362520217901"/>
    <n v="0.266845703125"/>
    <n v="0.15535335242748299"/>
  </r>
  <r>
    <x v="109"/>
    <x v="4"/>
    <x v="486"/>
    <n v="0.98299999999999998"/>
    <n v="1.294"/>
    <n v="0.83799999999999997"/>
    <n v="0.34499999999999997"/>
    <n v="0.185"/>
    <n v="3.4000000000000002E-2"/>
  </r>
  <r>
    <x v="110"/>
    <x v="3"/>
    <x v="487"/>
    <n v="1.2290000000000001"/>
    <n v="1.2110000000000001"/>
    <n v="0.90900000000000003"/>
    <n v="0.495"/>
    <n v="0.17899999999999999"/>
    <n v="0.154"/>
  </r>
  <r>
    <x v="110"/>
    <x v="4"/>
    <x v="488"/>
    <n v="1.2629999999999999"/>
    <n v="1.252"/>
    <n v="1.042"/>
    <n v="0.41699999999999998"/>
    <n v="0.191"/>
    <n v="0.16200000000000001"/>
  </r>
  <r>
    <x v="111"/>
    <x v="0"/>
    <x v="489"/>
    <n v="1.4590000000000001"/>
    <n v="1.3309500000000001"/>
    <n v="0.88521000000000005"/>
    <n v="0.66973000000000005"/>
    <n v="0.34699000000000002"/>
    <n v="0.36503000000000002"/>
  </r>
  <r>
    <x v="111"/>
    <x v="1"/>
    <x v="490"/>
    <n v="1.57744"/>
    <n v="1.1269"/>
    <n v="0.79579"/>
    <n v="0.59609000000000001"/>
    <n v="0.37895000000000001"/>
    <n v="0.35776000000000002"/>
  </r>
  <r>
    <x v="111"/>
    <x v="2"/>
    <x v="491"/>
    <n v="1.6164631843566899"/>
    <n v="1.5335235595703101"/>
    <n v="0.79666650295257602"/>
    <n v="0.63542258739471402"/>
    <n v="0.36201223731040999"/>
    <n v="0.315963834524155"/>
  </r>
  <r>
    <x v="111"/>
    <x v="3"/>
    <x v="492"/>
    <n v="1.456"/>
    <n v="1.5820000000000001"/>
    <n v="0.86099999999999999"/>
    <n v="0.68600000000000005"/>
    <n v="0.28599999999999998"/>
    <n v="0.34"/>
  </r>
  <r>
    <x v="111"/>
    <x v="4"/>
    <x v="493"/>
    <n v="1.488"/>
    <n v="1.5820000000000001"/>
    <n v="1.028"/>
    <n v="0.60299999999999998"/>
    <n v="0.27100000000000002"/>
    <n v="0.34100000000000003"/>
  </r>
  <r>
    <x v="112"/>
    <x v="0"/>
    <x v="494"/>
    <n v="1.3601099999999999"/>
    <n v="1.08182"/>
    <n v="0.76275999999999999"/>
    <n v="0.63273999999999997"/>
    <n v="0.21542"/>
    <n v="0.32523999999999997"/>
  </r>
  <r>
    <x v="113"/>
    <x v="0"/>
    <x v="495"/>
    <n v="0.59543000000000001"/>
    <n v="0.41410999999999998"/>
    <n v="0.51466000000000001"/>
    <n v="0.12102"/>
    <n v="0.33671000000000001"/>
    <n v="0.10464"/>
  </r>
  <r>
    <x v="113"/>
    <x v="1"/>
    <x v="496"/>
    <n v="0.68815999999999999"/>
    <n v="0.26135000000000003"/>
    <n v="0.40305999999999997"/>
    <n v="0.14621999999999999"/>
    <n v="0.31185000000000002"/>
    <n v="0.13880000000000001"/>
  </r>
  <r>
    <x v="113"/>
    <x v="2"/>
    <x v="497"/>
    <n v="0.72688353061676003"/>
    <n v="0.672690689563751"/>
    <n v="0.40204778313636802"/>
    <n v="0.23521526157855999"/>
    <n v="0.31544601917266801"/>
    <n v="0.124348066747189"/>
  </r>
  <r>
    <x v="113"/>
    <x v="3"/>
    <x v="498"/>
    <n v="0.65200000000000002"/>
    <n v="0.81"/>
    <n v="0.42399999999999999"/>
    <n v="0.33400000000000002"/>
    <n v="0.216"/>
    <n v="0.113"/>
  </r>
  <r>
    <x v="113"/>
    <x v="4"/>
    <x v="499"/>
    <n v="0.67700000000000005"/>
    <n v="0.88600000000000001"/>
    <n v="0.53500000000000003"/>
    <n v="0.313"/>
    <n v="0.22"/>
    <n v="9.8000000000000004E-2"/>
  </r>
  <r>
    <x v="114"/>
    <x v="0"/>
    <x v="500"/>
    <n v="0.59867000000000004"/>
    <n v="0.92557999999999996"/>
    <n v="0.66015000000000001"/>
    <n v="0.24499000000000001"/>
    <n v="0.11251"/>
    <n v="0.12905"/>
  </r>
  <r>
    <x v="114"/>
    <x v="1"/>
    <x v="501"/>
    <n v="0.67023999999999995"/>
    <n v="0.71628999999999998"/>
    <n v="0.56843999999999995"/>
    <n v="0.17743999999999999"/>
    <n v="0.11154"/>
    <n v="0.10613"/>
  </r>
  <r>
    <x v="114"/>
    <x v="2"/>
    <x v="502"/>
    <n v="0.71624922752380404"/>
    <n v="1.1556471586227399"/>
    <n v="0.56566697359085105"/>
    <n v="0.25471106171607999"/>
    <n v="0.114173173904419"/>
    <n v="8.9282602071762099E-2"/>
  </r>
  <r>
    <x v="114"/>
    <x v="3"/>
    <x v="503"/>
    <n v="0.64200000000000002"/>
    <n v="1.2170000000000001"/>
    <n v="0.60199999999999998"/>
    <n v="0.26600000000000001"/>
    <n v="8.5999999999999993E-2"/>
    <n v="7.5999999999999998E-2"/>
  </r>
  <r>
    <x v="114"/>
    <x v="4"/>
    <x v="504"/>
    <n v="0.65700000000000003"/>
    <n v="1.2470000000000001"/>
    <n v="0.67200000000000004"/>
    <n v="0.22500000000000001"/>
    <n v="0.10299999999999999"/>
    <n v="6.6000000000000003E-2"/>
  </r>
  <r>
    <x v="115"/>
    <x v="0"/>
    <x v="505"/>
    <n v="1.0635300000000001"/>
    <n v="1.1984999999999999"/>
    <n v="0.79661000000000004"/>
    <n v="0.54210000000000003"/>
    <n v="0.24434"/>
    <n v="9.2700000000000005E-2"/>
  </r>
  <r>
    <x v="115"/>
    <x v="1"/>
    <x v="506"/>
    <n v="1.18306"/>
    <n v="0.98912"/>
    <n v="0.70835000000000004"/>
    <n v="0.48926999999999998"/>
    <n v="0.24179999999999999"/>
    <n v="8.4229999999999999E-2"/>
  </r>
  <r>
    <x v="115"/>
    <x v="2"/>
    <x v="507"/>
    <n v="1.23374843597412"/>
    <n v="1.3731925487518299"/>
    <n v="0.70615613460540805"/>
    <n v="0.55002683401107799"/>
    <n v="0.21055693924426999"/>
    <n v="7.0983923971652998E-2"/>
  </r>
  <r>
    <x v="115"/>
    <x v="3"/>
    <x v="508"/>
    <n v="1.1120000000000001"/>
    <n v="1.4379999999999999"/>
    <n v="0.75900000000000001"/>
    <n v="0.59699999999999998"/>
    <n v="0.125"/>
    <n v="6.3E-2"/>
  </r>
  <r>
    <x v="115"/>
    <x v="4"/>
    <x v="509"/>
    <n v="1.149"/>
    <n v="1.4419999999999999"/>
    <n v="0.91"/>
    <n v="0.51600000000000001"/>
    <n v="0.109"/>
    <n v="5.3999999999999999E-2"/>
  </r>
  <r>
    <x v="116"/>
    <x v="0"/>
    <x v="510"/>
    <n v="0.75985000000000003"/>
    <n v="1.30477"/>
    <n v="0.66098000000000001"/>
    <n v="0.53898999999999997"/>
    <n v="0.34239999999999998"/>
    <n v="8.2419999999999993E-2"/>
  </r>
  <r>
    <x v="116"/>
    <x v="1"/>
    <x v="511"/>
    <n v="0.89373000000000002"/>
    <n v="1.11111"/>
    <n v="0.58294999999999997"/>
    <n v="0.46234999999999998"/>
    <n v="0.25296000000000002"/>
    <n v="7.3959999999999998E-2"/>
  </r>
  <r>
    <x v="116"/>
    <x v="2"/>
    <x v="512"/>
    <n v="0.93253731727600098"/>
    <n v="1.50728487968445"/>
    <n v="0.57925069332122803"/>
    <n v="0.47350779175758401"/>
    <n v="0.22415065765380901"/>
    <n v="9.1065913438796997E-2"/>
  </r>
  <r>
    <x v="116"/>
    <x v="3"/>
    <x v="513"/>
    <n v="0.83499999999999996"/>
    <n v="1.522"/>
    <n v="0.61499999999999999"/>
    <n v="0.54100000000000004"/>
    <n v="0.16200000000000001"/>
    <n v="7.3999999999999996E-2"/>
  </r>
  <r>
    <x v="116"/>
    <x v="4"/>
    <x v="514"/>
    <n v="0.85499999999999998"/>
    <n v="1.4750000000000001"/>
    <n v="0.77700000000000002"/>
    <n v="0.51400000000000001"/>
    <n v="0.184"/>
    <n v="0.08"/>
  </r>
  <r>
    <x v="117"/>
    <x v="0"/>
    <x v="515"/>
    <n v="0.90019000000000005"/>
    <n v="0.97458999999999996"/>
    <n v="0.73016999999999999"/>
    <n v="0.41496"/>
    <n v="0.14982000000000001"/>
    <n v="5.9889999999999999E-2"/>
  </r>
  <r>
    <x v="117"/>
    <x v="1"/>
    <x v="514"/>
    <n v="0.99602000000000002"/>
    <n v="0.81254999999999999"/>
    <n v="0.62994000000000006"/>
    <n v="0.37502000000000002"/>
    <n v="0.14527000000000001"/>
    <n v="5.2920000000000002E-2"/>
  </r>
  <r>
    <x v="117"/>
    <x v="2"/>
    <x v="516"/>
    <n v="1.0352252721786499"/>
    <n v="1.2187703847885101"/>
    <n v="0.63016611337661699"/>
    <n v="0.45000287890434298"/>
    <n v="0.12681971490383101"/>
    <n v="4.7049086540937403E-2"/>
  </r>
  <r>
    <x v="117"/>
    <x v="3"/>
    <x v="517"/>
    <n v="0.93400000000000005"/>
    <n v="1.2490000000000001"/>
    <n v="0.67400000000000004"/>
    <n v="0.53"/>
    <n v="9.1999999999999998E-2"/>
    <n v="3.4000000000000002E-2"/>
  </r>
  <r>
    <x v="117"/>
    <x v="4"/>
    <x v="518"/>
    <n v="0.96"/>
    <n v="1.274"/>
    <n v="0.85399999999999998"/>
    <n v="0.45500000000000002"/>
    <n v="8.3000000000000004E-2"/>
    <n v="2.7E-2"/>
  </r>
  <r>
    <x v="118"/>
    <x v="0"/>
    <x v="519"/>
    <n v="0.70531999999999995"/>
    <n v="1.0351600000000001"/>
    <n v="0.58113999999999999"/>
    <n v="0.62544999999999995"/>
    <n v="0.24990999999999999"/>
    <n v="0.12279"/>
  </r>
  <r>
    <x v="118"/>
    <x v="1"/>
    <x v="520"/>
    <n v="0.81216999999999995"/>
    <n v="0.87877000000000005"/>
    <n v="0.47036"/>
    <n v="0.54854000000000003"/>
    <n v="0.21673999999999999"/>
    <n v="0.11756999999999999"/>
  </r>
  <r>
    <x v="118"/>
    <x v="2"/>
    <x v="521"/>
    <n v="0.85769921541214"/>
    <n v="1.25391757488251"/>
    <n v="0.46800905466079701"/>
    <n v="0.58521467447280895"/>
    <n v="0.193513423204422"/>
    <n v="9.9331893026828794E-2"/>
  </r>
  <r>
    <x v="118"/>
    <x v="3"/>
    <x v="522"/>
    <n v="0.77500000000000002"/>
    <n v="1.3120000000000001"/>
    <n v="0.51300000000000001"/>
    <n v="0.64300000000000002"/>
    <n v="0.12"/>
    <n v="0.105"/>
  </r>
  <r>
    <x v="118"/>
    <x v="4"/>
    <x v="523"/>
    <n v="0.80700000000000005"/>
    <n v="1.2929999999999999"/>
    <n v="0.65700000000000003"/>
    <n v="0.55800000000000005"/>
    <n v="0.11700000000000001"/>
    <n v="0.107"/>
  </r>
  <r>
    <x v="119"/>
    <x v="0"/>
    <x v="524"/>
    <n v="1.1255500000000001"/>
    <n v="1.27948"/>
    <n v="0.77903"/>
    <n v="0.53122000000000003"/>
    <n v="0.16758999999999999"/>
    <n v="4.2119999999999998E-2"/>
  </r>
  <r>
    <x v="119"/>
    <x v="1"/>
    <x v="487"/>
    <n v="1.2458499999999999"/>
    <n v="1.0468500000000001"/>
    <n v="0.69057999999999997"/>
    <n v="0.45190000000000002"/>
    <n v="0.14443"/>
    <n v="5.5E-2"/>
  </r>
  <r>
    <x v="119"/>
    <x v="2"/>
    <x v="525"/>
    <n v="1.29178786277771"/>
    <n v="1.44571197032928"/>
    <n v="0.69947534799575795"/>
    <n v="0.52034211158752397"/>
    <n v="0.158465966582298"/>
    <n v="5.9307806193828597E-2"/>
  </r>
  <r>
    <x v="119"/>
    <x v="3"/>
    <x v="246"/>
    <n v="1.1759999999999999"/>
    <n v="1.448"/>
    <n v="0.78100000000000003"/>
    <n v="0.54600000000000004"/>
    <n v="0.108"/>
    <n v="6.4000000000000001E-2"/>
  </r>
  <r>
    <x v="119"/>
    <x v="4"/>
    <x v="526"/>
    <n v="1.206"/>
    <n v="1.4379999999999999"/>
    <n v="0.88400000000000001"/>
    <n v="0.48299999999999998"/>
    <n v="0.11700000000000001"/>
    <n v="0.05"/>
  </r>
  <r>
    <x v="120"/>
    <x v="0"/>
    <x v="527"/>
    <n v="1.15991"/>
    <n v="1.1393500000000001"/>
    <n v="0.87519000000000002"/>
    <n v="0.51468999999999998"/>
    <n v="0.13719000000000001"/>
    <n v="1.078E-2"/>
  </r>
  <r>
    <x v="120"/>
    <x v="1"/>
    <x v="528"/>
    <n v="1.27607"/>
    <n v="0.94367000000000001"/>
    <n v="0.79362999999999995"/>
    <n v="0.44727"/>
    <n v="0.11691"/>
    <n v="1.521E-2"/>
  </r>
  <r>
    <x v="120"/>
    <x v="2"/>
    <x v="529"/>
    <n v="1.3151752948761"/>
    <n v="1.36704301834106"/>
    <n v="0.79584354162216198"/>
    <n v="0.49846529960632302"/>
    <n v="9.5102712512016296E-2"/>
    <n v="1.5869451686739901E-2"/>
  </r>
  <r>
    <x v="120"/>
    <x v="3"/>
    <x v="530"/>
    <n v="1.1879999999999999"/>
    <n v="1.429"/>
    <n v="0.88400000000000001"/>
    <n v="0.56200000000000006"/>
    <n v="5.5E-2"/>
    <n v="1.7000000000000001E-2"/>
  </r>
  <r>
    <x v="120"/>
    <x v="4"/>
    <x v="531"/>
    <n v="1.2210000000000001"/>
    <n v="1.431"/>
    <n v="0.999"/>
    <n v="0.50800000000000001"/>
    <n v="4.7E-2"/>
    <n v="2.5000000000000001E-2"/>
  </r>
  <r>
    <x v="121"/>
    <x v="1"/>
    <x v="532"/>
    <n v="1.3594299999999999"/>
    <n v="1.0811299999999999"/>
    <n v="0.77758000000000005"/>
    <n v="0.46822999999999998"/>
    <n v="0.22202"/>
    <n v="0.12275"/>
  </r>
  <r>
    <x v="122"/>
    <x v="0"/>
    <x v="533"/>
    <n v="1.69042"/>
    <n v="1.0786"/>
    <n v="0.79732999999999998"/>
    <n v="0.64039999999999997"/>
    <n v="0.32573000000000002"/>
    <n v="0.52207999999999999"/>
  </r>
  <r>
    <x v="122"/>
    <x v="1"/>
    <x v="534"/>
    <n v="1.8242700000000001"/>
    <n v="0.87963999999999998"/>
    <n v="0.71723000000000003"/>
    <n v="0.56679000000000002"/>
    <n v="0.32388"/>
    <n v="0.48048999999999997"/>
  </r>
  <r>
    <x v="122"/>
    <x v="2"/>
    <x v="534"/>
    <n v="1.87076568603516"/>
    <n v="1.27429687976837"/>
    <n v="0.71009808778762795"/>
    <n v="0.60413098335266102"/>
    <n v="0.33047387003898598"/>
    <n v="0.439299255609512"/>
  </r>
  <r>
    <x v="122"/>
    <x v="3"/>
    <x v="535"/>
    <n v="1.649"/>
    <n v="1.3029999999999999"/>
    <n v="0.748"/>
    <n v="0.65400000000000003"/>
    <n v="0.25600000000000001"/>
    <n v="0.17100000000000001"/>
  </r>
  <r>
    <x v="122"/>
    <x v="4"/>
    <x v="535"/>
    <n v="1.6839999999999999"/>
    <n v="1.3129999999999999"/>
    <n v="0.871"/>
    <n v="0.55500000000000005"/>
    <n v="0.22"/>
    <n v="0.16700000000000001"/>
  </r>
  <r>
    <x v="123"/>
    <x v="0"/>
    <x v="536"/>
    <n v="1.04345"/>
    <n v="0.88588"/>
    <n v="0.76890000000000003"/>
    <n v="0.35067999999999999"/>
    <n v="0.13747999999999999"/>
    <n v="6.4900000000000001E-3"/>
  </r>
  <r>
    <x v="123"/>
    <x v="1"/>
    <x v="537"/>
    <n v="1.1697"/>
    <n v="0.72802999999999995"/>
    <n v="0.67601999999999995"/>
    <n v="0.36712"/>
    <n v="0.12889"/>
    <n v="6.79E-3"/>
  </r>
  <r>
    <x v="123"/>
    <x v="2"/>
    <x v="538"/>
    <n v="1.21768391132355"/>
    <n v="1.15009129047394"/>
    <n v="0.68515831232070901"/>
    <n v="0.45700374245643599"/>
    <n v="0.133519917726517"/>
    <n v="4.3879006989299999E-3"/>
  </r>
  <r>
    <x v="123"/>
    <x v="3"/>
    <x v="539"/>
    <n v="1.1160000000000001"/>
    <n v="1.2190000000000001"/>
    <n v="0.72599999999999998"/>
    <n v="0.52800000000000002"/>
    <n v="8.7999999999999995E-2"/>
    <n v="1E-3"/>
  </r>
  <r>
    <x v="123"/>
    <x v="4"/>
    <x v="540"/>
    <n v="1.1619999999999999"/>
    <n v="1.232"/>
    <n v="0.82499999999999996"/>
    <n v="0.46200000000000002"/>
    <n v="8.3000000000000004E-2"/>
    <n v="5.0000000000000001E-3"/>
  </r>
  <r>
    <x v="124"/>
    <x v="0"/>
    <x v="541"/>
    <n v="1.13764"/>
    <n v="1.23617"/>
    <n v="0.66925999999999997"/>
    <n v="0.36679"/>
    <n v="1.99E-3"/>
    <n v="3.005E-2"/>
  </r>
  <r>
    <x v="124"/>
    <x v="1"/>
    <x v="542"/>
    <n v="1.23228"/>
    <n v="1.05261"/>
    <n v="0.58991000000000005"/>
    <n v="0.32682"/>
    <n v="2.7359999999999999E-2"/>
    <n v="3.5860000000000003E-2"/>
  </r>
  <r>
    <x v="124"/>
    <x v="2"/>
    <x v="543"/>
    <n v="1.28177809715271"/>
    <n v="1.46928238868713"/>
    <n v="0.547349333763123"/>
    <n v="0.37378311157226601"/>
    <n v="5.2263822406530401E-2"/>
    <n v="3.2962881028652198E-2"/>
  </r>
  <r>
    <x v="124"/>
    <x v="3"/>
    <x v="544"/>
    <n v="1.151"/>
    <n v="1.4790000000000001"/>
    <n v="0.59899999999999998"/>
    <n v="0.39900000000000002"/>
    <n v="6.5000000000000002E-2"/>
    <n v="2.5000000000000001E-2"/>
  </r>
  <r>
    <x v="124"/>
    <x v="4"/>
    <x v="419"/>
    <n v="1.1830000000000001"/>
    <n v="1.452"/>
    <n v="0.72599999999999998"/>
    <n v="0.33400000000000002"/>
    <n v="8.2000000000000003E-2"/>
    <n v="3.1E-2"/>
  </r>
  <r>
    <x v="125"/>
    <x v="0"/>
    <x v="545"/>
    <n v="0.22208"/>
    <n v="0.77370000000000005"/>
    <n v="0.42864000000000002"/>
    <n v="0.59201000000000004"/>
    <n v="0.22628000000000001"/>
    <n v="0.55191000000000001"/>
  </r>
  <r>
    <x v="125"/>
    <x v="1"/>
    <x v="546"/>
    <n v="0.32845999999999997"/>
    <n v="0.61585999999999996"/>
    <n v="0.31864999999999999"/>
    <n v="0.54320000000000002"/>
    <n v="0.23552000000000001"/>
    <n v="0.50521000000000005"/>
  </r>
  <r>
    <x v="125"/>
    <x v="2"/>
    <x v="547"/>
    <n v="0.36874589323997498"/>
    <n v="0.94570702314376798"/>
    <n v="0.32642480731010398"/>
    <n v="0.58184385299682595"/>
    <n v="0.25275602936744701"/>
    <n v="0.45522001385688798"/>
  </r>
  <r>
    <x v="125"/>
    <x v="3"/>
    <x v="548"/>
    <n v="0.33200000000000002"/>
    <n v="0.89600000000000002"/>
    <n v="0.4"/>
    <n v="0.63600000000000001"/>
    <n v="0.2"/>
    <n v="0.44400000000000001"/>
  </r>
  <r>
    <x v="125"/>
    <x v="4"/>
    <x v="549"/>
    <n v="0.35899999999999999"/>
    <n v="0.71099999999999997"/>
    <n v="0.61399999999999999"/>
    <n v="0.55500000000000005"/>
    <n v="0.217"/>
    <n v="0.41099999999999998"/>
  </r>
  <r>
    <x v="126"/>
    <x v="0"/>
    <x v="550"/>
    <n v="1.39541"/>
    <n v="1.0839300000000001"/>
    <n v="0.72024999999999995"/>
    <n v="0.31047999999999998"/>
    <n v="0.13705999999999999"/>
    <n v="0.32523999999999997"/>
  </r>
  <r>
    <x v="126"/>
    <x v="1"/>
    <x v="551"/>
    <n v="1.48953"/>
    <n v="0.84828999999999999"/>
    <n v="0.59267000000000003"/>
    <n v="0.37903999999999999"/>
    <n v="0.15457000000000001"/>
    <n v="0.30008000000000001"/>
  </r>
  <r>
    <x v="126"/>
    <x v="2"/>
    <x v="552"/>
    <n v="1.53062355518341"/>
    <n v="1.28667759895325"/>
    <n v="0.59014832973480202"/>
    <n v="0.44975057244300798"/>
    <n v="0.14761601388454401"/>
    <n v="0.27343225479125999"/>
  </r>
  <r>
    <x v="126"/>
    <x v="3"/>
    <x v="553"/>
    <n v="1.379"/>
    <n v="1.331"/>
    <n v="0.63300000000000001"/>
    <n v="0.50900000000000001"/>
    <n v="9.8000000000000004E-2"/>
    <n v="0.127"/>
  </r>
  <r>
    <x v="126"/>
    <x v="4"/>
    <x v="534"/>
    <n v="1.403"/>
    <n v="1.357"/>
    <n v="0.79500000000000004"/>
    <n v="0.439"/>
    <n v="0.08"/>
    <n v="0.13200000000000001"/>
  </r>
  <r>
    <x v="127"/>
    <x v="0"/>
    <x v="554"/>
    <n v="0.36498000000000003"/>
    <n v="0.97619"/>
    <n v="0.43540000000000001"/>
    <n v="0.36771999999999999"/>
    <n v="0.20843"/>
    <n v="0.10713"/>
  </r>
  <r>
    <x v="127"/>
    <x v="1"/>
    <x v="555"/>
    <n v="0.44313999999999998"/>
    <n v="0.77415999999999996"/>
    <n v="0.40456999999999999"/>
    <n v="0.31056"/>
    <n v="0.19103000000000001"/>
    <n v="0.11681"/>
  </r>
  <r>
    <x v="127"/>
    <x v="2"/>
    <x v="556"/>
    <n v="0.479309022426605"/>
    <n v="1.17969191074371"/>
    <n v="0.409362852573395"/>
    <n v="0.37792226672172502"/>
    <n v="0.183468893170357"/>
    <n v="0.115460447967052"/>
  </r>
  <r>
    <x v="127"/>
    <x v="3"/>
    <x v="557"/>
    <n v="0.42899999999999999"/>
    <n v="1.117"/>
    <n v="0.433"/>
    <n v="0.40600000000000003"/>
    <n v="0.13800000000000001"/>
    <n v="8.2000000000000003E-2"/>
  </r>
  <r>
    <x v="127"/>
    <x v="4"/>
    <x v="558"/>
    <n v="0.45"/>
    <n v="1.1339999999999999"/>
    <n v="0.57099999999999995"/>
    <n v="0.29199999999999998"/>
    <n v="0.153"/>
    <n v="7.1999999999999995E-2"/>
  </r>
  <r>
    <x v="128"/>
    <x v="0"/>
    <x v="528"/>
    <n v="0.92052999999999996"/>
    <n v="1.0096400000000001"/>
    <n v="0.74836000000000003"/>
    <n v="0.20107"/>
    <n v="0.19231000000000001"/>
    <n v="2.6169999999999999E-2"/>
  </r>
  <r>
    <x v="128"/>
    <x v="1"/>
    <x v="559"/>
    <n v="1.03437"/>
    <n v="0.81328999999999996"/>
    <n v="0.64580000000000004"/>
    <n v="0.15717999999999999"/>
    <n v="0.20737"/>
    <n v="4.3389999999999998E-2"/>
  </r>
  <r>
    <x v="128"/>
    <x v="2"/>
    <x v="560"/>
    <n v="1.0693175792694101"/>
    <n v="1.25818979740143"/>
    <n v="0.65078467130661"/>
    <n v="0.20871552824974099"/>
    <n v="0.22012588381767301"/>
    <n v="4.0903780609369299E-2"/>
  </r>
  <r>
    <x v="128"/>
    <x v="3"/>
    <x v="561"/>
    <n v="0.97499999999999998"/>
    <n v="1.369"/>
    <n v="0.68500000000000005"/>
    <n v="0.28799999999999998"/>
    <n v="0.13400000000000001"/>
    <n v="4.2999999999999997E-2"/>
  </r>
  <r>
    <x v="128"/>
    <x v="4"/>
    <x v="562"/>
    <n v="1.004"/>
    <n v="1.383"/>
    <n v="0.85399999999999998"/>
    <n v="0.28199999999999997"/>
    <n v="0.13700000000000001"/>
    <n v="3.9E-2"/>
  </r>
  <r>
    <x v="129"/>
    <x v="0"/>
    <x v="563"/>
    <n v="0.33023999999999998"/>
    <n v="0.95570999999999995"/>
    <n v="0"/>
    <n v="0.40839999999999999"/>
    <n v="0.21487999999999999"/>
    <n v="8.7859999999999994E-2"/>
  </r>
  <r>
    <x v="129"/>
    <x v="1"/>
    <x v="564"/>
    <n v="0.36485000000000001"/>
    <n v="0.628"/>
    <n v="0"/>
    <n v="0.30685000000000001"/>
    <n v="0.23896999999999999"/>
    <n v="8.1960000000000005E-2"/>
  </r>
  <r>
    <x v="129"/>
    <x v="2"/>
    <x v="565"/>
    <n v="0.36842092871665999"/>
    <n v="0.98413604497909501"/>
    <n v="5.5647538974880999E-3"/>
    <n v="0.31869769096374501"/>
    <n v="0.293040901422501"/>
    <n v="7.1095176041126307E-2"/>
  </r>
  <r>
    <x v="129"/>
    <x v="3"/>
    <x v="368"/>
    <n v="0.25600000000000001"/>
    <n v="0.81299999999999994"/>
    <n v="0"/>
    <n v="0.35499999999999998"/>
    <n v="0.23799999999999999"/>
    <n v="5.2999999999999999E-2"/>
  </r>
  <r>
    <x v="129"/>
    <x v="4"/>
    <x v="566"/>
    <n v="0.26800000000000002"/>
    <n v="0.84099999999999997"/>
    <n v="0.24199999999999999"/>
    <n v="0.309"/>
    <n v="0.252"/>
    <n v="4.4999999999999998E-2"/>
  </r>
  <r>
    <x v="130"/>
    <x v="0"/>
    <x v="567"/>
    <n v="1.52186"/>
    <n v="1.02"/>
    <n v="1.02525"/>
    <n v="0.54252"/>
    <n v="0.31104999999999999"/>
    <n v="0.49209999999999998"/>
  </r>
  <r>
    <x v="130"/>
    <x v="1"/>
    <x v="568"/>
    <n v="1.6455500000000001"/>
    <n v="0.86758000000000002"/>
    <n v="0.94718999999999998"/>
    <n v="0.48770000000000002"/>
    <n v="0.32706000000000002"/>
    <n v="0.46987000000000001"/>
  </r>
  <r>
    <x v="130"/>
    <x v="2"/>
    <x v="569"/>
    <n v="1.69227766990662"/>
    <n v="1.35381436347961"/>
    <n v="0.94949239492416404"/>
    <n v="0.54984056949615501"/>
    <n v="0.34596598148345897"/>
    <n v="0.46430778503418002"/>
  </r>
  <r>
    <x v="130"/>
    <x v="3"/>
    <x v="570"/>
    <n v="1.5289999999999999"/>
    <n v="1.4510000000000001"/>
    <n v="1.008"/>
    <n v="0.63100000000000001"/>
    <n v="0.26100000000000001"/>
    <n v="0.45700000000000002"/>
  </r>
  <r>
    <x v="130"/>
    <x v="4"/>
    <x v="571"/>
    <n v="1.5720000000000001"/>
    <n v="1.4630000000000001"/>
    <n v="1.141"/>
    <n v="0.55600000000000005"/>
    <n v="0.27100000000000002"/>
    <n v="0.45300000000000001"/>
  </r>
  <r>
    <x v="131"/>
    <x v="0"/>
    <x v="572"/>
    <n v="1.1689099999999999"/>
    <n v="1.26999"/>
    <n v="0.78902000000000005"/>
    <n v="0.31751000000000001"/>
    <n v="0.16893"/>
    <n v="3.431E-2"/>
  </r>
  <r>
    <x v="131"/>
    <x v="1"/>
    <x v="573"/>
    <n v="1.27973"/>
    <n v="1.0826800000000001"/>
    <n v="0.70367000000000002"/>
    <n v="0.23391000000000001"/>
    <n v="0.13836999999999999"/>
    <n v="2.947E-2"/>
  </r>
  <r>
    <x v="131"/>
    <x v="2"/>
    <x v="574"/>
    <n v="1.3253935575485201"/>
    <n v="1.50505924224854"/>
    <n v="0.71273291110992398"/>
    <n v="0.29581746459007302"/>
    <n v="0.13654448091983801"/>
    <n v="2.4210851639509201E-2"/>
  </r>
  <r>
    <x v="131"/>
    <x v="3"/>
    <x v="575"/>
    <n v="1.21"/>
    <n v="1.5369999999999999"/>
    <n v="0.77600000000000002"/>
    <n v="0.35399999999999998"/>
    <n v="0.11799999999999999"/>
    <n v="1.4E-2"/>
  </r>
  <r>
    <x v="131"/>
    <x v="4"/>
    <x v="576"/>
    <n v="1.246"/>
    <n v="1.504"/>
    <n v="0.88100000000000001"/>
    <n v="0.33400000000000002"/>
    <n v="0.121"/>
    <n v="1.4E-2"/>
  </r>
  <r>
    <x v="132"/>
    <x v="0"/>
    <x v="577"/>
    <n v="1.1849799999999999"/>
    <n v="1.2738499999999999"/>
    <n v="0.87336999999999998"/>
    <n v="0.60855000000000004"/>
    <n v="0.25328000000000001"/>
    <n v="3.7870000000000001E-2"/>
  </r>
  <r>
    <x v="132"/>
    <x v="1"/>
    <x v="578"/>
    <n v="1.2994699999999999"/>
    <n v="1.05613"/>
    <n v="0.79151000000000005"/>
    <n v="0.53164"/>
    <n v="0.25738"/>
    <n v="3.635E-2"/>
  </r>
  <r>
    <x v="132"/>
    <x v="2"/>
    <x v="579"/>
    <n v="1.3412059545517001"/>
    <n v="1.4525188207626301"/>
    <n v="0.79082822799682595"/>
    <n v="0.57257580757141102"/>
    <n v="0.24264909327030201"/>
    <n v="4.5128978788852699E-2"/>
  </r>
  <r>
    <x v="132"/>
    <x v="3"/>
    <x v="307"/>
    <n v="1.2190000000000001"/>
    <n v="1.506"/>
    <n v="0.85599999999999998"/>
    <n v="0.63300000000000001"/>
    <n v="0.16"/>
    <n v="5.0999999999999997E-2"/>
  </r>
  <r>
    <x v="132"/>
    <x v="4"/>
    <x v="580"/>
    <n v="1.258"/>
    <n v="1.5229999999999999"/>
    <n v="0.95299999999999996"/>
    <n v="0.56399999999999995"/>
    <n v="0.14399999999999999"/>
    <n v="5.7000000000000002E-2"/>
  </r>
  <r>
    <x v="133"/>
    <x v="1"/>
    <x v="581"/>
    <n v="0"/>
    <n v="0.33612999999999998"/>
    <n v="0.11466"/>
    <n v="0.56777999999999995"/>
    <n v="0.27224999999999999"/>
    <n v="0.31180000000000002"/>
  </r>
  <r>
    <x v="133"/>
    <x v="2"/>
    <x v="582"/>
    <n v="2.2643184289336201E-2"/>
    <n v="0.72115135192871105"/>
    <n v="0.113989137113094"/>
    <n v="0.60212695598602295"/>
    <n v="0.29163131117820701"/>
    <n v="0.28241032361984297"/>
  </r>
  <r>
    <x v="133"/>
    <x v="3"/>
    <x v="583"/>
    <n v="0"/>
    <n v="0.71199999999999997"/>
    <n v="0.115"/>
    <n v="0.67400000000000004"/>
    <n v="0.23799999999999999"/>
    <n v="0.28199999999999997"/>
  </r>
  <r>
    <x v="133"/>
    <x v="4"/>
    <x v="584"/>
    <n v="0"/>
    <n v="0.69799999999999995"/>
    <n v="0.26800000000000002"/>
    <n v="0.55900000000000005"/>
    <n v="0.24299999999999999"/>
    <n v="0.27"/>
  </r>
  <r>
    <x v="134"/>
    <x v="1"/>
    <x v="585"/>
    <n v="0.25557999999999997"/>
    <n v="0.75861999999999996"/>
    <n v="0.33107999999999999"/>
    <n v="0.39129999999999998"/>
    <n v="0.51478999999999997"/>
    <n v="0.36793999999999999"/>
  </r>
  <r>
    <x v="134"/>
    <x v="0"/>
    <x v="585"/>
    <n v="0.18847"/>
    <n v="0.95152000000000003"/>
    <n v="0.43873000000000001"/>
    <n v="0.46582000000000001"/>
    <n v="0.50317999999999996"/>
    <n v="0.39928000000000002"/>
  </r>
  <r>
    <x v="135"/>
    <x v="0"/>
    <x v="586"/>
    <n v="0.92049000000000003"/>
    <n v="1.18468"/>
    <n v="0.27688000000000001"/>
    <n v="0.33206999999999998"/>
    <n v="0.11973"/>
    <n v="8.8840000000000002E-2"/>
  </r>
  <r>
    <x v="135"/>
    <x v="1"/>
    <x v="587"/>
    <n v="1.02416"/>
    <n v="0.96052999999999999"/>
    <n v="0.18611"/>
    <n v="0.42482999999999999"/>
    <n v="0.13655999999999999"/>
    <n v="8.4150000000000003E-2"/>
  </r>
  <r>
    <x v="135"/>
    <x v="2"/>
    <x v="588"/>
    <n v="1.05469870567322"/>
    <n v="1.38478863239288"/>
    <n v="0.18708007037639601"/>
    <n v="0.479246735572815"/>
    <n v="0.13936237990856201"/>
    <n v="7.2509497404098497E-2"/>
  </r>
  <r>
    <x v="135"/>
    <x v="3"/>
    <x v="589"/>
    <n v="0.94"/>
    <n v="1.41"/>
    <n v="0.33"/>
    <n v="0.51600000000000001"/>
    <n v="0.10299999999999999"/>
    <n v="5.6000000000000001E-2"/>
  </r>
  <r>
    <x v="135"/>
    <x v="4"/>
    <x v="590"/>
    <n v="0.96"/>
    <n v="1.351"/>
    <n v="0.46899999999999997"/>
    <n v="0.38900000000000001"/>
    <n v="0.13"/>
    <n v="5.5E-2"/>
  </r>
  <r>
    <x v="136"/>
    <x v="0"/>
    <x v="591"/>
    <n v="1.24461"/>
    <n v="0.95774000000000004"/>
    <n v="0.96538000000000002"/>
    <n v="0.33207999999999999"/>
    <n v="0.18557000000000001"/>
    <n v="7.8570000000000001E-2"/>
  </r>
  <r>
    <x v="136"/>
    <x v="1"/>
    <x v="487"/>
    <n v="1.35948"/>
    <n v="0.72194000000000003"/>
    <n v="0.88644999999999996"/>
    <n v="0.25168000000000001"/>
    <n v="0.18823999999999999"/>
    <n v="7.7160000000000006E-2"/>
  </r>
  <r>
    <x v="136"/>
    <x v="2"/>
    <x v="429"/>
    <n v="1.40167844295502"/>
    <n v="1.12827444076538"/>
    <n v="0.90021407604217496"/>
    <n v="0.25792166590690602"/>
    <n v="0.20667436718940699"/>
    <n v="6.3282668590545696E-2"/>
  </r>
  <r>
    <x v="136"/>
    <x v="3"/>
    <x v="592"/>
    <n v="1.266"/>
    <n v="1.204"/>
    <n v="0.95499999999999996"/>
    <n v="0.24399999999999999"/>
    <n v="0.17499999999999999"/>
    <n v="5.0999999999999997E-2"/>
  </r>
  <r>
    <x v="136"/>
    <x v="4"/>
    <x v="593"/>
    <n v="1.3009999999999999"/>
    <n v="1.2190000000000001"/>
    <n v="1.036"/>
    <n v="0.159"/>
    <n v="0.17499999999999999"/>
    <n v="5.6000000000000001E-2"/>
  </r>
  <r>
    <x v="137"/>
    <x v="1"/>
    <x v="594"/>
    <n v="0.39394000000000001"/>
    <n v="0.18518999999999999"/>
    <n v="0.15781000000000001"/>
    <n v="0.19661999999999999"/>
    <n v="0.25899"/>
    <n v="0.13014999999999999"/>
  </r>
  <r>
    <x v="137"/>
    <x v="2"/>
    <x v="595"/>
    <n v="0.39724862575531"/>
    <n v="0.60132312774658203"/>
    <n v="0.16348600387573201"/>
    <n v="0.14706243574619299"/>
    <n v="0.285670816898346"/>
    <n v="0.116793513298035"/>
  </r>
  <r>
    <x v="137"/>
    <x v="3"/>
    <x v="596"/>
    <n v="0.33700000000000002"/>
    <n v="0.60799999999999998"/>
    <n v="0.17699999999999999"/>
    <n v="0.112"/>
    <n v="0.224"/>
    <n v="0.106"/>
  </r>
  <r>
    <x v="137"/>
    <x v="4"/>
    <x v="597"/>
    <n v="0.30599999999999999"/>
    <n v="0.57499999999999996"/>
    <n v="0.29499999999999998"/>
    <n v="0.01"/>
    <n v="0.20200000000000001"/>
    <n v="9.0999999999999998E-2"/>
  </r>
  <r>
    <x v="138"/>
    <x v="0"/>
    <x v="598"/>
    <n v="1.23011"/>
    <n v="1.31379"/>
    <n v="0.95562000000000002"/>
    <n v="0.45950999999999997"/>
    <n v="0.18226999999999999"/>
    <n v="6.3979999999999995E-2"/>
  </r>
  <r>
    <x v="138"/>
    <x v="1"/>
    <x v="599"/>
    <n v="1.34253"/>
    <n v="1.1294500000000001"/>
    <n v="0.87895999999999996"/>
    <n v="0.37545000000000001"/>
    <n v="0.17665"/>
    <n v="6.1370000000000001E-2"/>
  </r>
  <r>
    <x v="138"/>
    <x v="2"/>
    <x v="600"/>
    <n v="1.3843978643417401"/>
    <n v="1.5320909023284901"/>
    <n v="0.88896059989929199"/>
    <n v="0.40878123044967701"/>
    <n v="0.190133571624756"/>
    <n v="7.0914097130298601E-2"/>
  </r>
  <r>
    <x v="138"/>
    <x v="3"/>
    <x v="601"/>
    <n v="1.2509999999999999"/>
    <n v="1.538"/>
    <n v="0.96499999999999997"/>
    <n v="0.44900000000000001"/>
    <n v="0.14199999999999999"/>
    <n v="7.3999999999999996E-2"/>
  </r>
  <r>
    <x v="138"/>
    <x v="4"/>
    <x v="602"/>
    <n v="1.286"/>
    <n v="1.484"/>
    <n v="1.0620000000000001"/>
    <n v="0.36199999999999999"/>
    <n v="0.153"/>
    <n v="7.9000000000000001E-2"/>
  </r>
  <r>
    <x v="139"/>
    <x v="0"/>
    <x v="603"/>
    <n v="0.83523999999999998"/>
    <n v="1.01905"/>
    <n v="0.70806000000000002"/>
    <n v="0.53725999999999996"/>
    <n v="0.40827999999999998"/>
    <n v="9.1789999999999997E-2"/>
  </r>
  <r>
    <x v="139"/>
    <x v="1"/>
    <x v="604"/>
    <n v="0.97318000000000005"/>
    <n v="0.84782999999999997"/>
    <n v="0.62007000000000001"/>
    <n v="0.50817000000000001"/>
    <n v="0.46977999999999998"/>
    <n v="7.9640000000000002E-2"/>
  </r>
  <r>
    <x v="139"/>
    <x v="2"/>
    <x v="605"/>
    <n v="1.0098501443862899"/>
    <n v="1.25997638702393"/>
    <n v="0.62513083219528198"/>
    <n v="0.56121325492858898"/>
    <n v="0.49086356163024902"/>
    <n v="7.36539661884308E-2"/>
  </r>
  <r>
    <x v="139"/>
    <x v="3"/>
    <x v="606"/>
    <n v="0.91800000000000004"/>
    <n v="1.3140000000000001"/>
    <n v="0.67200000000000004"/>
    <n v="0.58499999999999996"/>
    <n v="0.307"/>
    <n v="0.05"/>
  </r>
  <r>
    <x v="139"/>
    <x v="4"/>
    <x v="607"/>
    <n v="0.94899999999999995"/>
    <n v="1.2649999999999999"/>
    <n v="0.83099999999999996"/>
    <n v="0.47"/>
    <n v="0.24399999999999999"/>
    <n v="4.7E-2"/>
  </r>
  <r>
    <x v="140"/>
    <x v="0"/>
    <x v="608"/>
    <n v="0.52107000000000003"/>
    <n v="1.0140400000000001"/>
    <n v="0.36878"/>
    <n v="0.10081"/>
    <n v="0.19062000000000001"/>
    <n v="0.14660000000000001"/>
  </r>
  <r>
    <x v="140"/>
    <x v="1"/>
    <x v="609"/>
    <n v="0.63068999999999997"/>
    <n v="0.81928000000000001"/>
    <n v="0.29759000000000002"/>
    <n v="0"/>
    <n v="0.18076999999999999"/>
    <n v="0.10038999999999999"/>
  </r>
  <r>
    <x v="140"/>
    <x v="2"/>
    <x v="610"/>
    <n v="0.65951669216155995"/>
    <n v="1.2140085697174099"/>
    <n v="0.29092082381248502"/>
    <n v="1.49958552792668E-2"/>
    <n v="0.182317450642586"/>
    <n v="8.9847519993782002E-2"/>
  </r>
  <r>
    <x v="140"/>
    <x v="3"/>
    <x v="609"/>
    <n v="0.60499999999999998"/>
    <n v="1.24"/>
    <n v="0.312"/>
    <n v="1.6E-2"/>
    <n v="0.13400000000000001"/>
    <n v="8.2000000000000003E-2"/>
  </r>
  <r>
    <x v="141"/>
    <x v="0"/>
    <x v="611"/>
    <n v="0.99534"/>
    <n v="0.97199999999999998"/>
    <n v="0.60819999999999996"/>
    <n v="0.59657000000000004"/>
    <n v="0.16991000000000001"/>
    <n v="0.13633000000000001"/>
  </r>
  <r>
    <x v="141"/>
    <x v="1"/>
    <x v="611"/>
    <n v="1.0968599999999999"/>
    <n v="0.77866000000000002"/>
    <n v="0.50932999999999995"/>
    <n v="0.52234000000000003"/>
    <n v="0.16664999999999999"/>
    <n v="0.12692000000000001"/>
  </r>
  <r>
    <x v="142"/>
    <x v="0"/>
    <x v="612"/>
    <n v="0.71206000000000003"/>
    <n v="1.07284"/>
    <n v="7.5660000000000005E-2"/>
    <n v="0.30658000000000002"/>
    <n v="0.18259"/>
    <n v="3.0599999999999999E-2"/>
  </r>
  <r>
    <x v="142"/>
    <x v="4"/>
    <x v="613"/>
    <n v="0.81100000000000005"/>
    <n v="1.149"/>
    <n v="0"/>
    <n v="0.313"/>
    <n v="7.3999999999999996E-2"/>
    <n v="0.13500000000000001"/>
  </r>
  <r>
    <x v="143"/>
    <x v="0"/>
    <x v="614"/>
    <n v="1.3317099999999999"/>
    <n v="1.2890699999999999"/>
    <n v="0.91086999999999996"/>
    <n v="0.65980000000000005"/>
    <n v="0.36262"/>
    <n v="0.43844"/>
  </r>
  <r>
    <x v="143"/>
    <x v="1"/>
    <x v="615"/>
    <n v="1.45181"/>
    <n v="1.0876399999999999"/>
    <n v="0.83121"/>
    <n v="0.58218000000000003"/>
    <n v="0.38253999999999999"/>
    <n v="0.40866999999999998"/>
  </r>
  <r>
    <x v="143"/>
    <x v="2"/>
    <x v="31"/>
    <n v="1.4943872690200799"/>
    <n v="1.4781621694564799"/>
    <n v="0.83087515830993697"/>
    <n v="0.61292409896850597"/>
    <n v="0.38539925217628501"/>
    <n v="0.38439872860908503"/>
  </r>
  <r>
    <x v="143"/>
    <x v="3"/>
    <x v="616"/>
    <n v="1.355"/>
    <n v="1.5009999999999999"/>
    <n v="0.91300000000000003"/>
    <n v="0.65900000000000003"/>
    <n v="0.28499999999999998"/>
    <n v="0.38300000000000001"/>
  </r>
  <r>
    <x v="143"/>
    <x v="4"/>
    <x v="617"/>
    <n v="1.387"/>
    <n v="1.4870000000000001"/>
    <n v="1.0089999999999999"/>
    <n v="0.57399999999999995"/>
    <n v="0.26700000000000002"/>
    <n v="0.373"/>
  </r>
  <r>
    <x v="144"/>
    <x v="0"/>
    <x v="618"/>
    <n v="1.3965099999999999"/>
    <n v="1.34951"/>
    <n v="0.94142999999999999"/>
    <n v="0.66556999999999999"/>
    <n v="0.29677999999999999"/>
    <n v="0.41977999999999999"/>
  </r>
  <r>
    <x v="144"/>
    <x v="1"/>
    <x v="619"/>
    <n v="1.5273300000000001"/>
    <n v="1.14524"/>
    <n v="0.86302999999999996"/>
    <n v="0.58557000000000003"/>
    <n v="0.28083000000000002"/>
    <n v="0.41203000000000001"/>
  </r>
  <r>
    <x v="144"/>
    <x v="2"/>
    <x v="620"/>
    <n v="1.56497955322266"/>
    <n v="1.51691174507141"/>
    <n v="0.85813128948211703"/>
    <n v="0.62007057666778598"/>
    <n v="0.29054927825927701"/>
    <n v="0.367007285356522"/>
  </r>
  <r>
    <x v="144"/>
    <x v="3"/>
    <x v="621"/>
    <n v="1.42"/>
    <n v="1.5489999999999999"/>
    <n v="0.92700000000000005"/>
    <n v="0.66"/>
    <n v="0.25600000000000001"/>
    <n v="0.35699999999999998"/>
  </r>
  <r>
    <x v="144"/>
    <x v="4"/>
    <x v="622"/>
    <n v="1.452"/>
    <n v="1.526"/>
    <n v="1.052"/>
    <n v="0.57199999999999995"/>
    <n v="0.26300000000000001"/>
    <n v="0.34300000000000003"/>
  </r>
  <r>
    <x v="145"/>
    <x v="0"/>
    <x v="623"/>
    <n v="0.66320000000000001"/>
    <n v="0.47488999999999998"/>
    <n v="0.72192999999999996"/>
    <n v="0.15684000000000001"/>
    <n v="0.47178999999999999"/>
    <n v="0.18906000000000001"/>
  </r>
  <r>
    <x v="145"/>
    <x v="1"/>
    <x v="624"/>
    <n v="0.74719000000000002"/>
    <n v="0.14865999999999999"/>
    <n v="0.62994000000000006"/>
    <n v="6.9120000000000001E-2"/>
    <n v="0.48397000000000001"/>
    <n v="0.17233000000000001"/>
  </r>
  <r>
    <x v="145"/>
    <x v="2"/>
    <x v="625"/>
    <n v="0.77715313434600797"/>
    <n v="0.39610260725021401"/>
    <n v="0.50053334236144997"/>
    <n v="8.1539444625377697E-2"/>
    <n v="0.49366372823715199"/>
    <n v="0.151347130537033"/>
  </r>
  <r>
    <x v="145"/>
    <x v="3"/>
    <x v="626"/>
    <n v="0.68899999999999995"/>
    <n v="0.38200000000000001"/>
    <n v="0.53900000000000003"/>
    <n v="8.7999999999999995E-2"/>
    <n v="0.376"/>
    <n v="0.14399999999999999"/>
  </r>
  <r>
    <x v="145"/>
    <x v="4"/>
    <x v="626"/>
    <n v="0.61899999999999999"/>
    <n v="0.378"/>
    <n v="0.44"/>
    <n v="1.2999999999999999E-2"/>
    <n v="0.33100000000000002"/>
    <n v="0.14099999999999999"/>
  </r>
  <r>
    <x v="146"/>
    <x v="0"/>
    <x v="627"/>
    <n v="1.29098"/>
    <n v="1.0761700000000001"/>
    <n v="0.87529999999999997"/>
    <n v="0.39739999999999998"/>
    <n v="0.25375999999999999"/>
    <n v="8.1290000000000001E-2"/>
  </r>
  <r>
    <x v="146"/>
    <x v="1"/>
    <x v="551"/>
    <n v="1.3972899999999999"/>
    <n v="0.92623999999999995"/>
    <n v="0.79564999999999997"/>
    <n v="0.32377"/>
    <n v="0.25495000000000001"/>
    <n v="6.6299999999999998E-2"/>
  </r>
  <r>
    <x v="146"/>
    <x v="3"/>
    <x v="628"/>
    <n v="1.365"/>
    <n v="1.4359999999999999"/>
    <n v="0.85699999999999998"/>
    <n v="0.41799999999999998"/>
    <n v="0.151"/>
    <n v="7.8E-2"/>
  </r>
  <r>
    <x v="146"/>
    <x v="4"/>
    <x v="629"/>
    <n v="1.3680000000000001"/>
    <n v="1.43"/>
    <n v="0.91400000000000003"/>
    <n v="0.35099999999999998"/>
    <n v="0.24199999999999999"/>
    <n v="9.7000000000000003E-2"/>
  </r>
  <r>
    <x v="147"/>
    <x v="2"/>
    <x v="630"/>
    <n v="1.43362653255463"/>
    <n v="1.38456535339355"/>
    <n v="0.793984234333038"/>
    <n v="0.36146658658981301"/>
    <n v="0.258360475301743"/>
    <n v="6.3829235732555403E-2"/>
  </r>
  <r>
    <x v="148"/>
    <x v="0"/>
    <x v="631"/>
    <n v="0.39046999999999998"/>
    <n v="0.85563"/>
    <n v="0.57379000000000002"/>
    <n v="0.47216000000000002"/>
    <n v="0.22974"/>
    <n v="0.15071999999999999"/>
  </r>
  <r>
    <x v="148"/>
    <x v="1"/>
    <x v="240"/>
    <n v="0.48835000000000001"/>
    <n v="0.75602000000000003"/>
    <n v="0.53119000000000005"/>
    <n v="0.43408000000000002"/>
    <n v="0.25997999999999999"/>
    <n v="0.13508999999999999"/>
  </r>
  <r>
    <x v="148"/>
    <x v="2"/>
    <x v="632"/>
    <n v="0.524713635444641"/>
    <n v="1.27146327495575"/>
    <n v="0.52923512458801303"/>
    <n v="0.47156670689582803"/>
    <n v="0.24899764358997301"/>
    <n v="0.14637714624404899"/>
  </r>
  <r>
    <x v="148"/>
    <x v="3"/>
    <x v="633"/>
    <n v="0.47399999999999998"/>
    <n v="1.1659999999999999"/>
    <n v="0.59799999999999998"/>
    <n v="0.29199999999999998"/>
    <n v="0.187"/>
    <n v="3.4000000000000002E-2"/>
  </r>
  <r>
    <x v="148"/>
    <x v="4"/>
    <x v="634"/>
    <n v="0.49299999999999999"/>
    <n v="1.0980000000000001"/>
    <n v="0.71799999999999997"/>
    <n v="0.38900000000000001"/>
    <n v="0.23"/>
    <n v="0.14399999999999999"/>
  </r>
  <r>
    <x v="149"/>
    <x v="0"/>
    <x v="635"/>
    <n v="0.28520000000000001"/>
    <n v="1.00268"/>
    <n v="0.38214999999999999"/>
    <n v="0.32878000000000002"/>
    <n v="0.34377000000000002"/>
    <n v="5.747E-2"/>
  </r>
  <r>
    <x v="149"/>
    <x v="1"/>
    <x v="636"/>
    <n v="0.47155000000000002"/>
    <n v="0.77622999999999998"/>
    <n v="0.35699999999999998"/>
    <n v="0.31759999999999999"/>
    <n v="0.31472"/>
    <n v="5.0990000000000001E-2"/>
  </r>
  <r>
    <x v="149"/>
    <x v="2"/>
    <x v="637"/>
    <n v="0.51113587617874101"/>
    <n v="1.0419898033142101"/>
    <n v="0.36450928449630698"/>
    <n v="0.39001777768135099"/>
    <n v="0.354256361722946"/>
    <n v="6.6035106778144795E-2"/>
  </r>
  <r>
    <x v="149"/>
    <x v="3"/>
    <x v="638"/>
    <n v="0.45500000000000002"/>
    <n v="0.99099999999999999"/>
    <n v="0.38100000000000001"/>
    <n v="0.48099999999999998"/>
    <n v="0.27"/>
    <n v="9.7000000000000003E-2"/>
  </r>
  <r>
    <x v="149"/>
    <x v="4"/>
    <x v="639"/>
    <n v="0.47599999999999998"/>
    <n v="0.88500000000000001"/>
    <n v="0.499"/>
    <n v="0.41699999999999998"/>
    <n v="0.27600000000000002"/>
    <n v="0.14699999999999999"/>
  </r>
  <r>
    <x v="150"/>
    <x v="0"/>
    <x v="640"/>
    <n v="0.96689999999999998"/>
    <n v="1.2650399999999999"/>
    <n v="0.73850000000000005"/>
    <n v="0.55664000000000002"/>
    <n v="0.57630000000000003"/>
    <n v="3.1870000000000002E-2"/>
  </r>
  <r>
    <x v="150"/>
    <x v="1"/>
    <x v="641"/>
    <n v="1.0892999999999999"/>
    <n v="1.04477"/>
    <n v="0.64915"/>
    <n v="0.49553000000000003"/>
    <n v="0.58696000000000004"/>
    <n v="2.8330000000000001E-2"/>
  </r>
  <r>
    <x v="150"/>
    <x v="2"/>
    <x v="642"/>
    <n v="1.12786877155304"/>
    <n v="1.42579245567322"/>
    <n v="0.647239029407501"/>
    <n v="0.58020073175430298"/>
    <n v="0.57212311029434204"/>
    <n v="3.16127352416515E-2"/>
  </r>
  <r>
    <x v="150"/>
    <x v="3"/>
    <x v="643"/>
    <n v="1.016"/>
    <n v="1.417"/>
    <n v="0.70699999999999996"/>
    <n v="0.63700000000000001"/>
    <n v="0.36399999999999999"/>
    <n v="2.9000000000000001E-2"/>
  </r>
  <r>
    <x v="150"/>
    <x v="4"/>
    <x v="644"/>
    <n v="1.05"/>
    <n v="1.409"/>
    <n v="0.82799999999999996"/>
    <n v="0.55700000000000005"/>
    <n v="0.35899999999999999"/>
    <n v="2.8000000000000001E-2"/>
  </r>
  <r>
    <x v="151"/>
    <x v="0"/>
    <x v="645"/>
    <n v="0.20868"/>
    <n v="0.13994999999999999"/>
    <n v="0.28443000000000002"/>
    <n v="0.36453000000000002"/>
    <n v="0.16681000000000001"/>
    <n v="0.10731"/>
  </r>
  <r>
    <x v="151"/>
    <x v="1"/>
    <x v="638"/>
    <n v="0.28122999999999998"/>
    <n v="0"/>
    <n v="0.24811"/>
    <n v="0.34677999999999998"/>
    <n v="0.17516999999999999"/>
    <n v="0.11587"/>
  </r>
  <r>
    <x v="151"/>
    <x v="2"/>
    <x v="646"/>
    <n v="0.30544471740722701"/>
    <n v="0.43188253045082098"/>
    <n v="0.247105568647385"/>
    <n v="0.38042613863945002"/>
    <n v="0.19689615070819899"/>
    <n v="9.5665015280246707E-2"/>
  </r>
  <r>
    <x v="151"/>
    <x v="3"/>
    <x v="647"/>
    <n v="0.25900000000000001"/>
    <n v="0.47399999999999998"/>
    <n v="0.253"/>
    <n v="0.434"/>
    <n v="0.158"/>
    <n v="0.10100000000000001"/>
  </r>
  <r>
    <x v="151"/>
    <x v="4"/>
    <x v="648"/>
    <n v="0.27500000000000002"/>
    <n v="0.57199999999999995"/>
    <n v="0.41"/>
    <n v="0.29299999999999998"/>
    <n v="0.17699999999999999"/>
    <n v="8.5000000000000006E-2"/>
  </r>
  <r>
    <x v="152"/>
    <x v="3"/>
    <x v="649"/>
    <n v="1.2230000000000001"/>
    <n v="1.492"/>
    <n v="0.56399999999999995"/>
    <n v="0.57499999999999996"/>
    <n v="0.17100000000000001"/>
    <n v="1.9E-2"/>
  </r>
  <r>
    <x v="152"/>
    <x v="4"/>
    <x v="649"/>
    <n v="1.2310000000000001"/>
    <n v="1.4770000000000001"/>
    <n v="0.71299999999999997"/>
    <n v="0.48899999999999999"/>
    <n v="0.185"/>
    <n v="1.6E-2"/>
  </r>
  <r>
    <x v="153"/>
    <x v="0"/>
    <x v="650"/>
    <n v="1.21183"/>
    <n v="1.18354"/>
    <n v="0.61482999999999999"/>
    <n v="0.55884"/>
    <n v="0.31844"/>
    <n v="1.14E-2"/>
  </r>
  <r>
    <x v="153"/>
    <x v="1"/>
    <x v="650"/>
    <n v="1.32572"/>
    <n v="0.98568999999999996"/>
    <n v="0.52607999999999999"/>
    <n v="0.48453000000000002"/>
    <n v="0.31935000000000002"/>
    <n v="1.2409999999999999E-2"/>
  </r>
  <r>
    <x v="153"/>
    <x v="2"/>
    <x v="651"/>
    <n v="1.36135590076447"/>
    <n v="1.3802285194396999"/>
    <n v="0.51998329162597701"/>
    <n v="0.51863074302673295"/>
    <n v="0.325296461582184"/>
    <n v="8.9648161083459004E-3"/>
  </r>
  <r>
    <x v="154"/>
    <x v="0"/>
    <x v="652"/>
    <n v="0.88112999999999997"/>
    <n v="0.60428999999999999"/>
    <n v="0.73792999999999997"/>
    <n v="0.26268000000000002"/>
    <n v="6.4310000000000006E-2"/>
    <n v="6.3579999999999998E-2"/>
  </r>
  <r>
    <x v="154"/>
    <x v="1"/>
    <x v="653"/>
    <n v="0.97724"/>
    <n v="0.43164999999999998"/>
    <n v="0.59577000000000002"/>
    <n v="0.23552999999999999"/>
    <n v="3.9359999999999999E-2"/>
    <n v="8.1699999999999995E-2"/>
  </r>
  <r>
    <x v="154"/>
    <x v="2"/>
    <x v="654"/>
    <n v="1.0072658061981199"/>
    <n v="0.86835145950317405"/>
    <n v="0.61321204900741599"/>
    <n v="0.28968068957328802"/>
    <n v="4.96933571994305E-2"/>
    <n v="8.6723148822784396E-2"/>
  </r>
  <r>
    <x v="154"/>
    <x v="3"/>
    <x v="655"/>
    <n v="0.9"/>
    <n v="0.90600000000000003"/>
    <n v="0.69"/>
    <n v="0.27100000000000002"/>
    <n v="0.04"/>
    <n v="6.3E-2"/>
  </r>
  <r>
    <x v="154"/>
    <x v="4"/>
    <x v="656"/>
    <n v="0.92100000000000004"/>
    <n v="1"/>
    <n v="0.81499999999999995"/>
    <n v="0.16700000000000001"/>
    <n v="5.8999999999999997E-2"/>
    <n v="5.5E-2"/>
  </r>
  <r>
    <x v="155"/>
    <x v="0"/>
    <x v="657"/>
    <n v="1.06098"/>
    <n v="0.94632000000000005"/>
    <n v="0.73172000000000004"/>
    <n v="0.22814999999999999"/>
    <n v="0.12253"/>
    <n v="0.15745999999999999"/>
  </r>
  <r>
    <x v="155"/>
    <x v="1"/>
    <x v="658"/>
    <n v="1.16492"/>
    <n v="0.87717000000000001"/>
    <n v="0.64717999999999998"/>
    <n v="0.23888999999999999"/>
    <n v="4.7070000000000001E-2"/>
    <n v="0.12348000000000001"/>
  </r>
  <r>
    <x v="155"/>
    <x v="2"/>
    <x v="659"/>
    <n v="1.19827437400818"/>
    <n v="1.3377531766891499"/>
    <n v="0.63760560750961304"/>
    <n v="0.30074059963226302"/>
    <n v="4.6693041920661899E-2"/>
    <n v="9.9671579897403703E-2"/>
  </r>
  <r>
    <x v="155"/>
    <x v="3"/>
    <x v="57"/>
    <n v="1.1479999999999999"/>
    <n v="1.38"/>
    <n v="0.68600000000000005"/>
    <n v="0.32400000000000001"/>
    <n v="0.106"/>
    <n v="0.109"/>
  </r>
  <r>
    <x v="155"/>
    <x v="4"/>
    <x v="660"/>
    <n v="1.1830000000000001"/>
    <n v="1.36"/>
    <n v="0.80800000000000005"/>
    <n v="0.19500000000000001"/>
    <n v="8.3000000000000004E-2"/>
    <n v="0.106"/>
  </r>
  <r>
    <x v="156"/>
    <x v="0"/>
    <x v="661"/>
    <n v="0.95847000000000004"/>
    <n v="1.22668"/>
    <n v="0.53886000000000001"/>
    <n v="0.47610000000000002"/>
    <n v="0.16979"/>
    <n v="0.30843999999999999"/>
  </r>
  <r>
    <x v="156"/>
    <x v="1"/>
    <x v="662"/>
    <n v="1.0801700000000001"/>
    <n v="1.03817"/>
    <n v="0.44006000000000001"/>
    <n v="0.37408000000000002"/>
    <n v="0.22567000000000001"/>
    <n v="0.28466999999999998"/>
  </r>
  <r>
    <x v="156"/>
    <x v="2"/>
    <x v="663"/>
    <n v="1.13077676296234"/>
    <n v="1.4931491613388099"/>
    <n v="0.437726080417633"/>
    <n v="0.41827192902565002"/>
    <n v="0.24992498755455"/>
    <n v="0.259270340204239"/>
  </r>
  <r>
    <x v="156"/>
    <x v="3"/>
    <x v="664"/>
    <n v="1.016"/>
    <n v="1.5329999999999999"/>
    <n v="0.51700000000000002"/>
    <n v="0.41699999999999998"/>
    <n v="0.19900000000000001"/>
    <n v="3.6999999999999998E-2"/>
  </r>
  <r>
    <x v="156"/>
    <x v="4"/>
    <x v="665"/>
    <n v="1.052"/>
    <n v="1.538"/>
    <n v="0.65700000000000003"/>
    <n v="0.39400000000000002"/>
    <n v="0.24399999999999999"/>
    <n v="2.8000000000000001E-2"/>
  </r>
  <r>
    <x v="157"/>
    <x v="0"/>
    <x v="666"/>
    <n v="0.21102000000000001"/>
    <n v="1.1329899999999999"/>
    <n v="0.33861000000000002"/>
    <n v="0.45727000000000001"/>
    <n v="0.29065999999999997"/>
    <n v="7.2669999999999998E-2"/>
  </r>
  <r>
    <x v="157"/>
    <x v="1"/>
    <x v="101"/>
    <n v="0.34719"/>
    <n v="0.90981000000000001"/>
    <n v="0.19625000000000001"/>
    <n v="0.43652999999999997"/>
    <n v="0.27101999999999998"/>
    <n v="6.4420000000000005E-2"/>
  </r>
  <r>
    <x v="157"/>
    <x v="2"/>
    <x v="667"/>
    <n v="0.38143071532249501"/>
    <n v="1.12982773780823"/>
    <n v="0.217632606625557"/>
    <n v="0.443185955286026"/>
    <n v="0.32576605677604697"/>
    <n v="5.7069718837738002E-2"/>
  </r>
  <r>
    <x v="157"/>
    <x v="3"/>
    <x v="668"/>
    <n v="0.32200000000000001"/>
    <n v="1.0900000000000001"/>
    <n v="0.23699999999999999"/>
    <n v="0.45"/>
    <n v="0.25900000000000001"/>
    <n v="6.0999999999999999E-2"/>
  </r>
  <r>
    <x v="157"/>
    <x v="4"/>
    <x v="669"/>
    <n v="0.33200000000000002"/>
    <n v="1.069"/>
    <n v="0.443"/>
    <n v="0.35599999999999998"/>
    <n v="0.252"/>
    <n v="0.06"/>
  </r>
  <r>
    <x v="158"/>
    <x v="0"/>
    <x v="558"/>
    <n v="0.79906999999999995"/>
    <n v="1.20278"/>
    <n v="0.67390000000000005"/>
    <n v="0.25123000000000001"/>
    <n v="0.15275"/>
    <n v="2.9610000000000001E-2"/>
  </r>
  <r>
    <x v="158"/>
    <x v="1"/>
    <x v="670"/>
    <n v="0.87287000000000003"/>
    <n v="1.01413"/>
    <n v="0.58628000000000002"/>
    <n v="0.12859000000000001"/>
    <n v="0.20363000000000001"/>
    <n v="1.8290000000000001E-2"/>
  </r>
  <r>
    <x v="158"/>
    <x v="2"/>
    <x v="671"/>
    <n v="0.89465194940567005"/>
    <n v="1.39453756809235"/>
    <n v="0.57590395212173495"/>
    <n v="0.122974775731564"/>
    <n v="0.27006146311759899"/>
    <n v="2.3029470816254598E-2"/>
  </r>
  <r>
    <x v="158"/>
    <x v="3"/>
    <x v="672"/>
    <n v="0.79300000000000004"/>
    <n v="1.413"/>
    <n v="0.60899999999999999"/>
    <n v="0.16300000000000001"/>
    <n v="0.187"/>
    <n v="1.0999999999999999E-2"/>
  </r>
  <r>
    <x v="158"/>
    <x v="4"/>
    <x v="85"/>
    <n v="0.82"/>
    <n v="1.39"/>
    <n v="0.73899999999999999"/>
    <n v="0.17799999999999999"/>
    <n v="0.187"/>
    <n v="0.01"/>
  </r>
  <r>
    <x v="159"/>
    <x v="0"/>
    <x v="673"/>
    <n v="1.42727"/>
    <n v="1.12575"/>
    <n v="0.80925000000000002"/>
    <n v="0.64156999999999997"/>
    <n v="0.26428000000000001"/>
    <n v="0.38583000000000001"/>
  </r>
  <r>
    <x v="159"/>
    <x v="1"/>
    <x v="674"/>
    <n v="1.57352"/>
    <n v="0.87114000000000003"/>
    <n v="0.72992999999999997"/>
    <n v="0.56215000000000004"/>
    <n v="0.26590999999999998"/>
    <n v="0.35560999999999998"/>
  </r>
  <r>
    <x v="159"/>
    <x v="2"/>
    <x v="675"/>
    <n v="1.62634336948395"/>
    <n v="1.2664102315902701"/>
    <n v="0.726798236370087"/>
    <n v="0.60834527015686002"/>
    <n v="0.36094194650650002"/>
    <n v="0.32448956370353699"/>
  </r>
  <r>
    <x v="159"/>
    <x v="3"/>
    <x v="676"/>
    <n v="2.0960000000000001"/>
    <n v="0.77600000000000002"/>
    <n v="0.67"/>
    <n v="0.28399999999999997"/>
    <n v="0.186"/>
    <m/>
  </r>
  <r>
    <x v="159"/>
    <x v="4"/>
    <x v="677"/>
    <n v="1.5029999999999999"/>
    <n v="1.31"/>
    <n v="0.82499999999999996"/>
    <n v="0.59799999999999998"/>
    <n v="0.26200000000000001"/>
    <n v="0.182"/>
  </r>
  <r>
    <x v="160"/>
    <x v="0"/>
    <x v="678"/>
    <n v="1.26637"/>
    <n v="1.28548"/>
    <n v="0.90942999999999996"/>
    <n v="0.59624999999999995"/>
    <n v="0.51912000000000003"/>
    <n v="0.32067000000000001"/>
  </r>
  <r>
    <x v="160"/>
    <x v="1"/>
    <x v="679"/>
    <n v="1.40283"/>
    <n v="1.0867199999999999"/>
    <n v="0.80991000000000002"/>
    <n v="0.50036000000000003"/>
    <n v="0.50156000000000001"/>
    <n v="0.27399000000000001"/>
  </r>
  <r>
    <x v="160"/>
    <x v="2"/>
    <x v="680"/>
    <n v="1.44163393974304"/>
    <n v="1.49646008014679"/>
    <n v="0.80533593893051103"/>
    <n v="0.50819003582000699"/>
    <n v="0.492774158716202"/>
    <n v="0.265428066253662"/>
  </r>
  <r>
    <x v="160"/>
    <x v="3"/>
    <x v="681"/>
    <n v="1.244"/>
    <n v="1.4330000000000001"/>
    <n v="0.88800000000000001"/>
    <n v="0.46400000000000002"/>
    <n v="0.26200000000000001"/>
    <n v="8.2000000000000003E-2"/>
  </r>
  <r>
    <x v="160"/>
    <x v="4"/>
    <x v="682"/>
    <n v="1.333"/>
    <n v="1.538"/>
    <n v="0.996"/>
    <n v="0.45"/>
    <n v="0.34799999999999998"/>
    <n v="0.27800000000000002"/>
  </r>
  <r>
    <x v="161"/>
    <x v="0"/>
    <x v="35"/>
    <n v="1.3945099999999999"/>
    <n v="1.2471099999999999"/>
    <n v="0.86178999999999994"/>
    <n v="0.54603999999999997"/>
    <n v="0.40105000000000002"/>
    <n v="0.15890000000000001"/>
  </r>
  <r>
    <x v="161"/>
    <x v="1"/>
    <x v="683"/>
    <n v="1.50796"/>
    <n v="1.04782"/>
    <n v="0.77900000000000003"/>
    <n v="0.48163"/>
    <n v="0.41077000000000002"/>
    <n v="0.14868000000000001"/>
  </r>
  <r>
    <x v="161"/>
    <x v="2"/>
    <x v="684"/>
    <n v="1.54625928401947"/>
    <n v="1.4199205636978101"/>
    <n v="0.77428662776946999"/>
    <n v="0.50574052333831798"/>
    <n v="0.39257878065109297"/>
    <n v="0.135638788342476"/>
  </r>
  <r>
    <x v="161"/>
    <x v="3"/>
    <x v="685"/>
    <n v="1.3979999999999999"/>
    <n v="1.4710000000000001"/>
    <n v="0.81899999999999995"/>
    <n v="0.54700000000000004"/>
    <n v="0.29099999999999998"/>
    <n v="0.13300000000000001"/>
  </r>
  <r>
    <x v="161"/>
    <x v="4"/>
    <x v="686"/>
    <n v="1.4330000000000001"/>
    <n v="1.4570000000000001"/>
    <n v="0.874"/>
    <n v="0.45400000000000001"/>
    <n v="0.28000000000000003"/>
    <n v="0.128"/>
  </r>
  <r>
    <x v="162"/>
    <x v="0"/>
    <x v="687"/>
    <n v="1.06166"/>
    <n v="1.2089000000000001"/>
    <n v="0.81159999999999999"/>
    <n v="0.60362000000000005"/>
    <n v="0.2324"/>
    <n v="0.24557999999999999"/>
  </r>
  <r>
    <x v="162"/>
    <x v="1"/>
    <x v="688"/>
    <n v="1.18157"/>
    <n v="1.0314300000000001"/>
    <n v="0.72182999999999997"/>
    <n v="0.54388000000000003"/>
    <n v="0.18056"/>
    <n v="0.21393999999999999"/>
  </r>
  <r>
    <x v="162"/>
    <x v="2"/>
    <x v="248"/>
    <n v="1.2175596952438399"/>
    <n v="1.4122278690338099"/>
    <n v="0.71921682357788097"/>
    <n v="0.57939225435257002"/>
    <n v="0.17509692907333399"/>
    <n v="0.178061872720718"/>
  </r>
  <r>
    <x v="162"/>
    <x v="3"/>
    <x v="551"/>
    <n v="1.093"/>
    <n v="1.4590000000000001"/>
    <n v="0.77100000000000002"/>
    <n v="0.625"/>
    <n v="0.13"/>
    <n v="0.155"/>
  </r>
  <r>
    <x v="162"/>
    <x v="4"/>
    <x v="689"/>
    <n v="1.1240000000000001"/>
    <n v="1.4650000000000001"/>
    <n v="0.89100000000000001"/>
    <n v="0.52300000000000002"/>
    <n v="0.127"/>
    <n v="0.15"/>
  </r>
  <r>
    <x v="163"/>
    <x v="0"/>
    <x v="690"/>
    <n v="0.63244"/>
    <n v="1.34043"/>
    <n v="0.59772000000000003"/>
    <n v="0.65820999999999996"/>
    <n v="0.22836999999999999"/>
    <n v="0.30825999999999998"/>
  </r>
  <r>
    <x v="163"/>
    <x v="1"/>
    <x v="320"/>
    <n v="0.73590999999999995"/>
    <n v="1.1680999999999999"/>
    <n v="0.50163000000000002"/>
    <n v="0.60848000000000002"/>
    <n v="0.34326000000000001"/>
    <n v="0.28333000000000003"/>
  </r>
  <r>
    <x v="163"/>
    <x v="2"/>
    <x v="691"/>
    <n v="0.78644108772277799"/>
    <n v="1.5489691495895399"/>
    <n v="0.49827262759208701"/>
    <n v="0.65824866294860795"/>
    <n v="0.415983647108078"/>
    <n v="0.24652822315692899"/>
  </r>
  <r>
    <x v="163"/>
    <x v="3"/>
    <x v="692"/>
    <n v="0.71899999999999997"/>
    <n v="1.5840000000000001"/>
    <n v="0.60499999999999998"/>
    <n v="0.72399999999999998"/>
    <n v="0.32800000000000001"/>
    <n v="0.25900000000000001"/>
  </r>
  <r>
    <x v="163"/>
    <x v="4"/>
    <x v="693"/>
    <n v="0.745"/>
    <n v="1.5289999999999999"/>
    <n v="0.75600000000000001"/>
    <n v="0.63100000000000001"/>
    <n v="0.32200000000000001"/>
    <n v="0.24"/>
  </r>
  <r>
    <x v="164"/>
    <x v="0"/>
    <x v="694"/>
    <n v="1.0442400000000001"/>
    <n v="1.25596"/>
    <n v="0.72052000000000005"/>
    <n v="0.42908000000000002"/>
    <n v="5.8409999999999997E-2"/>
    <n v="0.11069"/>
  </r>
  <r>
    <x v="164"/>
    <x v="1"/>
    <x v="695"/>
    <n v="1.13367"/>
    <n v="1.03302"/>
    <n v="0.61904000000000003"/>
    <n v="0.19847000000000001"/>
    <n v="4.2500000000000003E-2"/>
    <n v="8.3040000000000003E-2"/>
  </r>
  <r>
    <x v="164"/>
    <x v="2"/>
    <x v="696"/>
    <n v="1.1284312009811399"/>
    <n v="1.4313375949859599"/>
    <n v="0.61714422702789296"/>
    <n v="0.153997123241425"/>
    <n v="6.5019629895687103E-2"/>
    <n v="6.4491122961044298E-2"/>
  </r>
  <r>
    <x v="164"/>
    <x v="3"/>
    <x v="697"/>
    <n v="0.996"/>
    <n v="1.4690000000000001"/>
    <n v="0.65700000000000003"/>
    <n v="0.13300000000000001"/>
    <n v="5.6000000000000001E-2"/>
    <n v="5.1999999999999998E-2"/>
  </r>
  <r>
    <x v="164"/>
    <x v="4"/>
    <x v="293"/>
    <n v="0.96"/>
    <n v="1.427"/>
    <n v="0.80500000000000005"/>
    <n v="0.154"/>
    <n v="6.4000000000000001E-2"/>
    <n v="4.7E-2"/>
  </r>
  <r>
    <x v="165"/>
    <x v="0"/>
    <x v="698"/>
    <n v="0.63216000000000006"/>
    <n v="0.91225999999999996"/>
    <n v="0.74675999999999998"/>
    <n v="0.59443999999999997"/>
    <n v="0.1686"/>
    <n v="0.10441"/>
  </r>
  <r>
    <x v="165"/>
    <x v="1"/>
    <x v="699"/>
    <n v="0.74036999999999997"/>
    <n v="0.79117000000000004"/>
    <n v="0.66156999999999999"/>
    <n v="0.55954000000000004"/>
    <n v="0.25074999999999997"/>
    <n v="0.11556"/>
  </r>
  <r>
    <x v="165"/>
    <x v="2"/>
    <x v="481"/>
    <n v="0.78854757547378496"/>
    <n v="1.2774913311004601"/>
    <n v="0.652168989181519"/>
    <n v="0.57105559110641502"/>
    <n v="0.234968051314354"/>
    <n v="8.7633237242698697E-2"/>
  </r>
  <r>
    <x v="165"/>
    <x v="3"/>
    <x v="700"/>
    <n v="0.71499999999999997"/>
    <n v="1.365"/>
    <n v="0.70199999999999996"/>
    <n v="0.61799999999999999"/>
    <n v="0.17699999999999999"/>
    <n v="7.9000000000000001E-2"/>
  </r>
  <r>
    <x v="165"/>
    <x v="4"/>
    <x v="701"/>
    <n v="0.74099999999999999"/>
    <n v="1.3460000000000001"/>
    <n v="0.85099999999999998"/>
    <n v="0.54300000000000004"/>
    <n v="0.14699999999999999"/>
    <n v="7.2999999999999995E-2"/>
  </r>
  <r>
    <x v="166"/>
    <x v="0"/>
    <x v="702"/>
    <n v="0.54649000000000003"/>
    <n v="0.68093000000000004"/>
    <n v="0.40064"/>
    <n v="0.35571000000000003"/>
    <n v="9.1310000000000002E-2"/>
    <n v="7.8539999999999999E-2"/>
  </r>
  <r>
    <x v="166"/>
    <x v="1"/>
    <x v="703"/>
    <n v="0.57938999999999996"/>
    <n v="0.47493000000000002"/>
    <n v="0.31047999999999998"/>
    <n v="0.22869999999999999"/>
    <n v="9.8210000000000006E-2"/>
    <n v="5.892E-2"/>
  </r>
  <r>
    <x v="166"/>
    <x v="2"/>
    <x v="704"/>
    <n v="0.59168344736099199"/>
    <n v="0.93538224697113004"/>
    <n v="0.310080915689468"/>
    <n v="0.24946372210979501"/>
    <n v="0.104125209152699"/>
    <n v="5.67674227058887E-2"/>
  </r>
  <r>
    <x v="166"/>
    <x v="3"/>
    <x v="705"/>
    <n v="0.442"/>
    <n v="1.073"/>
    <n v="0.34300000000000003"/>
    <n v="0.24399999999999999"/>
    <n v="8.3000000000000004E-2"/>
    <n v="6.4000000000000001E-2"/>
  </r>
  <r>
    <x v="166"/>
    <x v="4"/>
    <x v="706"/>
    <n v="0.28699999999999998"/>
    <n v="1.163"/>
    <n v="0.46300000000000002"/>
    <n v="0.14299999999999999"/>
    <n v="0.108"/>
    <n v="7.6999999999999999E-2"/>
  </r>
  <r>
    <x v="167"/>
    <x v="0"/>
    <x v="83"/>
    <n v="0.47038000000000002"/>
    <n v="0.91612000000000005"/>
    <n v="0.29924000000000001"/>
    <n v="0.48826999999999998"/>
    <n v="0.19591"/>
    <n v="0.12468"/>
  </r>
  <r>
    <x v="167"/>
    <x v="1"/>
    <x v="707"/>
    <n v="0.61202000000000001"/>
    <n v="0.63759999999999994"/>
    <n v="0.23573"/>
    <n v="0.42662"/>
    <n v="0.17866000000000001"/>
    <n v="0.11479"/>
  </r>
  <r>
    <x v="167"/>
    <x v="2"/>
    <x v="708"/>
    <n v="0.63640677928924605"/>
    <n v="1.0031872987747199"/>
    <n v="0.25783589482307401"/>
    <n v="0.46160349249839799"/>
    <n v="0.24958014488220201"/>
    <n v="7.8213550150394398E-2"/>
  </r>
  <r>
    <x v="167"/>
    <x v="3"/>
    <x v="709"/>
    <n v="0.56200000000000006"/>
    <n v="1.0469999999999999"/>
    <n v="0.29499999999999998"/>
    <n v="0.503"/>
    <n v="0.221"/>
    <n v="8.2000000000000003E-2"/>
  </r>
  <r>
    <x v="167"/>
    <x v="4"/>
    <x v="710"/>
    <n v="0.57799999999999996"/>
    <n v="1.0580000000000001"/>
    <n v="0.42599999999999999"/>
    <n v="0.43099999999999999"/>
    <n v="0.247"/>
    <n v="8.6999999999999994E-2"/>
  </r>
  <r>
    <x v="168"/>
    <x v="0"/>
    <x v="711"/>
    <n v="0.27100000000000002"/>
    <n v="1.0327599999999999"/>
    <n v="0.33474999999999999"/>
    <n v="0.25861000000000001"/>
    <n v="0.18987000000000001"/>
    <n v="8.0790000000000001E-2"/>
  </r>
  <r>
    <x v="168"/>
    <x v="1"/>
    <x v="712"/>
    <n v="0.35041"/>
    <n v="0.71477999999999997"/>
    <n v="0.1595"/>
    <n v="0.25429000000000002"/>
    <n v="0.18503"/>
    <n v="8.5819999999999994E-2"/>
  </r>
  <r>
    <x v="168"/>
    <x v="2"/>
    <x v="713"/>
    <n v="0.37584653496742199"/>
    <n v="1.08309590816498"/>
    <n v="0.19676375389099099"/>
    <n v="0.336384207010269"/>
    <n v="0.18914349377155301"/>
    <n v="9.5375381410121904E-2"/>
  </r>
  <r>
    <x v="168"/>
    <x v="3"/>
    <x v="714"/>
    <n v="0.35699999999999998"/>
    <n v="1.0940000000000001"/>
    <n v="0.248"/>
    <n v="0.40600000000000003"/>
    <n v="0.13200000000000001"/>
    <n v="9.9000000000000005E-2"/>
  </r>
  <r>
    <x v="168"/>
    <x v="4"/>
    <x v="715"/>
    <n v="0.36599999999999999"/>
    <n v="1.1140000000000001"/>
    <n v="0.433"/>
    <n v="0.36099999999999999"/>
    <n v="0.151"/>
    <n v="8.8999999999999996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E629BE-8726-4DE4-953D-7F5ED32FDFC3}" name="PivotTable1" cacheId="0" applyNumberFormats="0" applyBorderFormats="0" applyFontFormats="0" applyPatternFormats="0" applyAlignmentFormats="0" applyWidthHeightFormats="1" dataCaption="Values" grandTotalCaption="Average (2015-2019)" updatedVersion="8" minRefreshableVersion="3" useAutoFormatting="1" itemPrintTitles="1" createdVersion="8" indent="0" outline="1" outlineData="1" multipleFieldFilters="0" chartFormat="53">
  <location ref="A3:B8" firstHeaderRow="1" firstDataRow="1" firstDataCol="1" rowPageCount="1" colPageCount="1"/>
  <pivotFields count="9">
    <pivotField axis="axisPage" showAll="0">
      <items count="1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t="default"/>
      </items>
    </pivotField>
    <pivotField axis="axisRow" showAll="0">
      <items count="6">
        <item h="1" x="0"/>
        <item x="1"/>
        <item x="2"/>
        <item x="3"/>
        <item x="4"/>
        <item t="default"/>
      </items>
    </pivotField>
    <pivotField dataField="1" numFmtId="2" showAll="0"/>
    <pivotField numFmtId="2" showAll="0"/>
    <pivotField numFmtId="2" showAll="0"/>
    <pivotField numFmtId="2" showAll="0"/>
    <pivotField numFmtId="2" showAll="0"/>
    <pivotField numFmtId="2" showAll="0"/>
    <pivotField showAll="0"/>
  </pivotFields>
  <rowFields count="1">
    <field x="1"/>
  </rowFields>
  <rowItems count="5">
    <i>
      <x v="1"/>
    </i>
    <i>
      <x v="2"/>
    </i>
    <i>
      <x v="3"/>
    </i>
    <i>
      <x v="4"/>
    </i>
    <i t="grand">
      <x/>
    </i>
  </rowItems>
  <colItems count="1">
    <i/>
  </colItems>
  <pageFields count="1">
    <pageField fld="0" item="159" hier="-1"/>
  </pageFields>
  <dataFields count="1">
    <dataField name="Happiness score" fld="2" subtotal="average" baseField="1" baseItem="0" numFmtId="2"/>
  </dataFields>
  <chartFormats count="2">
    <chartFormat chart="20" format="0"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B4EC6C-BF25-4E39-88B5-C0D971F79E34}" name="PivotTable2" cacheId="0" applyNumberFormats="0" applyBorderFormats="0" applyFontFormats="0" applyPatternFormats="0" applyAlignmentFormats="0" applyWidthHeightFormats="1" dataCaption="Values" grandTotalCaption="Average (2015-2019)" updatedVersion="8" minRefreshableVersion="3" useAutoFormatting="1" itemPrintTitles="1" createdVersion="8" indent="0" outline="1" outlineData="1" multipleFieldFilters="0" chartFormat="12">
  <location ref="A17:B22" firstHeaderRow="1" firstDataRow="1" firstDataCol="1"/>
  <pivotFields count="9">
    <pivotField showAll="0"/>
    <pivotField axis="axisRow" showAll="0">
      <items count="6">
        <item h="1" x="0"/>
        <item x="1"/>
        <item x="2"/>
        <item x="3"/>
        <item x="4"/>
        <item t="default"/>
      </items>
    </pivotField>
    <pivotField dataField="1" numFmtId="2" showAll="0"/>
    <pivotField numFmtId="2" showAll="0"/>
    <pivotField numFmtId="2" showAll="0"/>
    <pivotField numFmtId="2" showAll="0"/>
    <pivotField numFmtId="2" showAll="0"/>
    <pivotField numFmtId="2" showAll="0"/>
    <pivotField showAll="0"/>
  </pivotFields>
  <rowFields count="1">
    <field x="1"/>
  </rowFields>
  <rowItems count="5">
    <i>
      <x v="1"/>
    </i>
    <i>
      <x v="2"/>
    </i>
    <i>
      <x v="3"/>
    </i>
    <i>
      <x v="4"/>
    </i>
    <i t="grand">
      <x/>
    </i>
  </rowItems>
  <colItems count="1">
    <i/>
  </colItems>
  <dataFields count="1">
    <dataField name="Global average of Happiness Score" fld="2" subtotal="average" baseField="1" baseItem="0" numFmtId="2"/>
  </dataFields>
  <chartFormats count="3">
    <chartFormat chart="3"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3DD44DE-7CCC-42D6-BDDA-00012D5409A2}" sourceName="Year">
  <pivotTables>
    <pivotTable tabId="3" name="PivotTable1"/>
    <pivotTable tabId="3" name="PivotTable2"/>
  </pivotTables>
  <data>
    <tabular pivotCacheId="1139275324">
      <items count="5">
        <i x="0"/>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18DE528-1CEA-4AF8-B49B-8993059530BB}" cache="Slicer_Year" caption="Year"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F1062-FE19-4FEB-9716-A1ED733A1A63}">
  <sheetPr codeName="Sheet3"/>
  <dimension ref="A1:X158"/>
  <sheetViews>
    <sheetView topLeftCell="A132" workbookViewId="0">
      <selection activeCell="P13" sqref="P13"/>
    </sheetView>
  </sheetViews>
  <sheetFormatPr defaultRowHeight="14.4" x14ac:dyDescent="0.3"/>
  <cols>
    <col min="3" max="3" width="11" customWidth="1"/>
    <col min="5" max="5" width="9.109375" customWidth="1"/>
    <col min="6" max="6" width="10.77734375" customWidth="1"/>
    <col min="8" max="8" width="11.109375" customWidth="1"/>
    <col min="9" max="9" width="10.5546875" customWidth="1"/>
    <col min="17" max="17" width="15.109375" bestFit="1" customWidth="1"/>
    <col min="18" max="24" width="10.77734375" customWidth="1"/>
  </cols>
  <sheetData>
    <row r="1" spans="1:16" ht="43.2" x14ac:dyDescent="0.3">
      <c r="A1" t="s">
        <v>0</v>
      </c>
      <c r="B1" t="s">
        <v>1</v>
      </c>
      <c r="C1" s="6" t="s">
        <v>173</v>
      </c>
      <c r="D1" s="6" t="s">
        <v>2</v>
      </c>
      <c r="E1" s="6" t="s">
        <v>172</v>
      </c>
      <c r="F1" s="6" t="s">
        <v>174</v>
      </c>
      <c r="G1" s="6" t="s">
        <v>3</v>
      </c>
      <c r="H1" s="6" t="s">
        <v>4</v>
      </c>
      <c r="I1" s="6" t="s">
        <v>5</v>
      </c>
    </row>
    <row r="2" spans="1:16" x14ac:dyDescent="0.3">
      <c r="A2" t="s">
        <v>6</v>
      </c>
      <c r="B2">
        <v>2019</v>
      </c>
      <c r="C2" s="1">
        <v>3.2029999999999998</v>
      </c>
      <c r="D2" s="1">
        <v>0.35</v>
      </c>
      <c r="E2" s="1">
        <v>0.51700000000000002</v>
      </c>
      <c r="F2" s="1">
        <v>0.36099999999999999</v>
      </c>
      <c r="G2" s="1">
        <v>0</v>
      </c>
      <c r="H2" s="1">
        <v>0.158</v>
      </c>
      <c r="I2" s="1">
        <v>2.5000000000000001E-2</v>
      </c>
      <c r="M2" t="s">
        <v>164</v>
      </c>
      <c r="N2" t="str">
        <f>Dashboard!H4</f>
        <v>GDP</v>
      </c>
    </row>
    <row r="3" spans="1:16" x14ac:dyDescent="0.3">
      <c r="A3" t="s">
        <v>7</v>
      </c>
      <c r="B3">
        <v>2019</v>
      </c>
      <c r="C3" s="1">
        <v>4.7190000000000003</v>
      </c>
      <c r="D3" s="1">
        <v>0.94699999999999995</v>
      </c>
      <c r="E3" s="1">
        <v>0.84799999999999998</v>
      </c>
      <c r="F3" s="1">
        <v>0.874</v>
      </c>
      <c r="G3" s="1">
        <v>0.38300000000000001</v>
      </c>
      <c r="H3" s="1">
        <v>0.17799999999999999</v>
      </c>
      <c r="I3" s="1">
        <v>2.7E-2</v>
      </c>
      <c r="M3" s="1">
        <v>3.2029999999999998</v>
      </c>
      <c r="N3" s="1">
        <f>INDEX(C2:I157,MATCH(M3,C2:C157,0),MATCH(N2,C1:I1,0))</f>
        <v>0.35</v>
      </c>
    </row>
    <row r="4" spans="1:16" x14ac:dyDescent="0.3">
      <c r="A4" t="s">
        <v>8</v>
      </c>
      <c r="B4">
        <v>2019</v>
      </c>
      <c r="C4" s="1">
        <v>5.2110000000000003</v>
      </c>
      <c r="D4" s="1">
        <v>1.002</v>
      </c>
      <c r="E4" s="1">
        <v>1.1599999999999999</v>
      </c>
      <c r="F4" s="1">
        <v>0.78500000000000003</v>
      </c>
      <c r="G4" s="1">
        <v>8.5999999999999993E-2</v>
      </c>
      <c r="H4" s="1">
        <v>7.2999999999999995E-2</v>
      </c>
      <c r="I4" s="1">
        <v>0.114</v>
      </c>
      <c r="M4" s="1">
        <v>4.7190000000000003</v>
      </c>
      <c r="N4" s="1">
        <f t="shared" ref="N4:N67" si="0">INDEX(C3:I158,MATCH(M4,C3:C158,0),MATCH(N3,C2:I2,0))</f>
        <v>0.94699999999999995</v>
      </c>
      <c r="P4" s="1"/>
    </row>
    <row r="5" spans="1:16" x14ac:dyDescent="0.3">
      <c r="A5" t="s">
        <v>9</v>
      </c>
      <c r="B5">
        <v>2019</v>
      </c>
      <c r="C5" s="1">
        <v>6.0860000000000003</v>
      </c>
      <c r="D5" s="1">
        <v>1.0920000000000001</v>
      </c>
      <c r="E5" s="1">
        <v>1.4319999999999999</v>
      </c>
      <c r="F5" s="1">
        <v>0.88100000000000001</v>
      </c>
      <c r="G5" s="1">
        <v>0.47099999999999997</v>
      </c>
      <c r="H5" s="1">
        <v>6.6000000000000003E-2</v>
      </c>
      <c r="I5" s="1">
        <v>0.05</v>
      </c>
      <c r="M5" s="1">
        <v>5.2110000000000003</v>
      </c>
      <c r="N5" s="1">
        <f t="shared" si="0"/>
        <v>1.002</v>
      </c>
      <c r="P5" s="1"/>
    </row>
    <row r="6" spans="1:16" x14ac:dyDescent="0.3">
      <c r="A6" t="s">
        <v>10</v>
      </c>
      <c r="B6">
        <v>2019</v>
      </c>
      <c r="C6" s="1">
        <v>4.5590000000000002</v>
      </c>
      <c r="D6" s="1">
        <v>0.85</v>
      </c>
      <c r="E6" s="1">
        <v>1.0549999999999999</v>
      </c>
      <c r="F6" s="1">
        <v>0.81499999999999995</v>
      </c>
      <c r="G6" s="1">
        <v>0.28299999999999997</v>
      </c>
      <c r="H6" s="1">
        <v>9.5000000000000001E-2</v>
      </c>
      <c r="I6" s="1">
        <v>6.4000000000000001E-2</v>
      </c>
      <c r="M6" s="1">
        <v>6.0860000000000003</v>
      </c>
      <c r="N6" s="1">
        <f t="shared" si="0"/>
        <v>1.0920000000000001</v>
      </c>
      <c r="P6" s="1"/>
    </row>
    <row r="7" spans="1:16" x14ac:dyDescent="0.3">
      <c r="A7" t="s">
        <v>11</v>
      </c>
      <c r="B7">
        <v>2019</v>
      </c>
      <c r="C7" s="1">
        <v>7.2279999999999998</v>
      </c>
      <c r="D7" s="1">
        <v>1.3720000000000001</v>
      </c>
      <c r="E7" s="1">
        <v>1.548</v>
      </c>
      <c r="F7" s="1">
        <v>1.036</v>
      </c>
      <c r="G7" s="1">
        <v>0.55700000000000005</v>
      </c>
      <c r="H7" s="1">
        <v>0.33200000000000002</v>
      </c>
      <c r="I7" s="1">
        <v>0.28999999999999998</v>
      </c>
      <c r="M7" s="1">
        <v>4.5590000000000002</v>
      </c>
      <c r="N7" s="1">
        <f t="shared" si="0"/>
        <v>0.85</v>
      </c>
      <c r="P7" s="1"/>
    </row>
    <row r="8" spans="1:16" x14ac:dyDescent="0.3">
      <c r="A8" t="s">
        <v>12</v>
      </c>
      <c r="B8">
        <v>2019</v>
      </c>
      <c r="C8" s="1">
        <v>7.2460000000000004</v>
      </c>
      <c r="D8" s="1">
        <v>1.3759999999999999</v>
      </c>
      <c r="E8" s="1">
        <v>1.4750000000000001</v>
      </c>
      <c r="F8" s="1">
        <v>1.016</v>
      </c>
      <c r="G8" s="1">
        <v>0.53200000000000003</v>
      </c>
      <c r="H8" s="1">
        <v>0.24399999999999999</v>
      </c>
      <c r="I8" s="1">
        <v>0.22600000000000001</v>
      </c>
      <c r="M8" s="1">
        <v>7.2279999999999998</v>
      </c>
      <c r="N8" s="1">
        <f t="shared" si="0"/>
        <v>1.3720000000000001</v>
      </c>
      <c r="P8" s="1"/>
    </row>
    <row r="9" spans="1:16" x14ac:dyDescent="0.3">
      <c r="A9" t="s">
        <v>13</v>
      </c>
      <c r="B9">
        <v>2019</v>
      </c>
      <c r="C9" s="1">
        <v>5.2080000000000002</v>
      </c>
      <c r="D9" s="1">
        <v>1.0429999999999999</v>
      </c>
      <c r="E9" s="1">
        <v>1.147</v>
      </c>
      <c r="F9" s="1">
        <v>0.76900000000000002</v>
      </c>
      <c r="G9" s="1">
        <v>0.35099999999999998</v>
      </c>
      <c r="H9" s="1">
        <v>3.5000000000000003E-2</v>
      </c>
      <c r="I9" s="1">
        <v>0.182</v>
      </c>
      <c r="M9" s="1">
        <v>7.2460000000000004</v>
      </c>
      <c r="N9" s="1">
        <f t="shared" si="0"/>
        <v>1.3759999999999999</v>
      </c>
      <c r="P9" s="1"/>
    </row>
    <row r="10" spans="1:16" x14ac:dyDescent="0.3">
      <c r="A10" t="s">
        <v>14</v>
      </c>
      <c r="B10">
        <v>2019</v>
      </c>
      <c r="C10" s="1">
        <v>6.1989999999999998</v>
      </c>
      <c r="D10" s="1">
        <v>1.3620000000000001</v>
      </c>
      <c r="E10" s="1">
        <v>1.3680000000000001</v>
      </c>
      <c r="F10" s="1">
        <v>0.871</v>
      </c>
      <c r="G10" s="1">
        <v>0.53600000000000003</v>
      </c>
      <c r="H10" s="1">
        <v>0.255</v>
      </c>
      <c r="I10" s="1">
        <v>0.11</v>
      </c>
      <c r="M10" s="1">
        <v>5.2080000000000002</v>
      </c>
      <c r="N10" s="1">
        <f t="shared" si="0"/>
        <v>1.0429999999999999</v>
      </c>
    </row>
    <row r="11" spans="1:16" x14ac:dyDescent="0.3">
      <c r="A11" t="s">
        <v>15</v>
      </c>
      <c r="B11">
        <v>2019</v>
      </c>
      <c r="C11" s="1">
        <v>4.4560000000000004</v>
      </c>
      <c r="D11" s="1">
        <v>0.56200000000000006</v>
      </c>
      <c r="E11" s="1">
        <v>0.92800000000000005</v>
      </c>
      <c r="F11" s="1">
        <v>0.72299999999999998</v>
      </c>
      <c r="G11" s="1">
        <v>0.52700000000000002</v>
      </c>
      <c r="H11" s="1">
        <v>0.16600000000000001</v>
      </c>
      <c r="I11" s="1">
        <v>0.14299999999999999</v>
      </c>
      <c r="M11" s="1">
        <v>6.1989999999999998</v>
      </c>
      <c r="N11" s="1">
        <f t="shared" si="0"/>
        <v>1.3620000000000001</v>
      </c>
    </row>
    <row r="12" spans="1:16" x14ac:dyDescent="0.3">
      <c r="A12" t="s">
        <v>16</v>
      </c>
      <c r="B12">
        <v>2019</v>
      </c>
      <c r="C12" s="1">
        <v>5.3230000000000004</v>
      </c>
      <c r="D12" s="1">
        <v>1.0669999999999999</v>
      </c>
      <c r="E12" s="1">
        <v>1.4650000000000001</v>
      </c>
      <c r="F12" s="1">
        <v>0.78900000000000003</v>
      </c>
      <c r="G12" s="1">
        <v>0.23499999999999999</v>
      </c>
      <c r="H12" s="1">
        <v>9.4E-2</v>
      </c>
      <c r="I12" s="1">
        <v>0.14199999999999999</v>
      </c>
      <c r="M12" s="1">
        <v>4.4560000000000004</v>
      </c>
      <c r="N12" s="1">
        <f t="shared" si="0"/>
        <v>0.56200000000000006</v>
      </c>
    </row>
    <row r="13" spans="1:16" x14ac:dyDescent="0.3">
      <c r="A13" t="s">
        <v>17</v>
      </c>
      <c r="B13">
        <v>2019</v>
      </c>
      <c r="C13" s="1">
        <v>6.923</v>
      </c>
      <c r="D13" s="1">
        <v>1.3560000000000001</v>
      </c>
      <c r="E13" s="1">
        <v>1.504</v>
      </c>
      <c r="F13" s="1">
        <v>0.98599999999999999</v>
      </c>
      <c r="G13" s="1">
        <v>0.47299999999999998</v>
      </c>
      <c r="H13" s="1">
        <v>0.16</v>
      </c>
      <c r="I13" s="1">
        <v>0.21</v>
      </c>
      <c r="M13" s="1">
        <v>5.3230000000000004</v>
      </c>
      <c r="N13" s="1">
        <f t="shared" si="0"/>
        <v>1.0669999999999999</v>
      </c>
    </row>
    <row r="14" spans="1:16" x14ac:dyDescent="0.3">
      <c r="A14" t="s">
        <v>18</v>
      </c>
      <c r="B14">
        <v>2019</v>
      </c>
      <c r="C14" s="1">
        <v>4.883</v>
      </c>
      <c r="D14" s="1">
        <v>0.39300000000000002</v>
      </c>
      <c r="E14" s="1">
        <v>0.437</v>
      </c>
      <c r="F14" s="1">
        <v>0.39700000000000002</v>
      </c>
      <c r="G14" s="1">
        <v>0.34899999999999998</v>
      </c>
      <c r="H14" s="1">
        <v>0.17499999999999999</v>
      </c>
      <c r="I14" s="1">
        <v>8.2000000000000003E-2</v>
      </c>
      <c r="M14" s="1">
        <v>6.923</v>
      </c>
      <c r="N14" s="1">
        <f t="shared" si="0"/>
        <v>1.3560000000000001</v>
      </c>
    </row>
    <row r="15" spans="1:16" x14ac:dyDescent="0.3">
      <c r="A15" t="s">
        <v>19</v>
      </c>
      <c r="B15">
        <v>2019</v>
      </c>
      <c r="C15" s="1">
        <v>5.0819999999999999</v>
      </c>
      <c r="D15" s="1">
        <v>0.81299999999999994</v>
      </c>
      <c r="E15" s="1">
        <v>1.321</v>
      </c>
      <c r="F15" s="1">
        <v>0.60399999999999998</v>
      </c>
      <c r="G15" s="1">
        <v>0.45700000000000002</v>
      </c>
      <c r="H15" s="1">
        <v>0.37</v>
      </c>
      <c r="I15" s="1">
        <v>0.16700000000000001</v>
      </c>
      <c r="M15" s="1">
        <v>4.883</v>
      </c>
      <c r="N15" s="1">
        <f t="shared" si="0"/>
        <v>0.39300000000000002</v>
      </c>
    </row>
    <row r="16" spans="1:16" x14ac:dyDescent="0.3">
      <c r="A16" t="s">
        <v>20</v>
      </c>
      <c r="B16">
        <v>2019</v>
      </c>
      <c r="C16" s="1">
        <v>5.7789999999999999</v>
      </c>
      <c r="D16" s="1">
        <v>0.77600000000000002</v>
      </c>
      <c r="E16" s="1">
        <v>1.2090000000000001</v>
      </c>
      <c r="F16" s="1">
        <v>0.70599999999999996</v>
      </c>
      <c r="G16" s="1">
        <v>0.51100000000000001</v>
      </c>
      <c r="H16" s="1">
        <v>0.13700000000000001</v>
      </c>
      <c r="I16" s="1">
        <v>6.4000000000000001E-2</v>
      </c>
      <c r="M16" s="1">
        <v>5.0819999999999999</v>
      </c>
      <c r="N16" s="1">
        <f t="shared" si="0"/>
        <v>0.81299999999999994</v>
      </c>
    </row>
    <row r="17" spans="1:24" x14ac:dyDescent="0.3">
      <c r="A17" t="s">
        <v>21</v>
      </c>
      <c r="B17">
        <v>2019</v>
      </c>
      <c r="C17" s="1">
        <v>5.3860000000000001</v>
      </c>
      <c r="D17" s="1">
        <v>0.94499999999999995</v>
      </c>
      <c r="E17" s="1">
        <v>1.212</v>
      </c>
      <c r="F17" s="1">
        <v>0.84499999999999997</v>
      </c>
      <c r="G17" s="1">
        <v>0.21199999999999999</v>
      </c>
      <c r="H17" s="1">
        <v>0.26300000000000001</v>
      </c>
      <c r="I17" s="1">
        <v>6.0000000000000001E-3</v>
      </c>
      <c r="M17" s="1">
        <v>5.7789999999999999</v>
      </c>
      <c r="N17" s="1">
        <f t="shared" si="0"/>
        <v>0.77600000000000002</v>
      </c>
    </row>
    <row r="18" spans="1:24" x14ac:dyDescent="0.3">
      <c r="A18" t="s">
        <v>22</v>
      </c>
      <c r="B18">
        <v>2019</v>
      </c>
      <c r="C18" s="1">
        <v>3.488</v>
      </c>
      <c r="D18" s="1">
        <v>1.0409999999999999</v>
      </c>
      <c r="E18" s="1">
        <v>1.145</v>
      </c>
      <c r="F18" s="1">
        <v>0.53800000000000003</v>
      </c>
      <c r="G18" s="1">
        <v>0.45500000000000002</v>
      </c>
      <c r="H18" s="1">
        <v>2.5000000000000001E-2</v>
      </c>
      <c r="I18" s="1">
        <v>0.1</v>
      </c>
      <c r="M18" s="1">
        <v>5.3860000000000001</v>
      </c>
      <c r="N18" s="1">
        <f t="shared" si="0"/>
        <v>0.94499999999999995</v>
      </c>
    </row>
    <row r="19" spans="1:24" x14ac:dyDescent="0.3">
      <c r="A19" t="s">
        <v>23</v>
      </c>
      <c r="B19">
        <v>2019</v>
      </c>
      <c r="C19" s="1">
        <v>6.3</v>
      </c>
      <c r="D19" s="1">
        <v>1.004</v>
      </c>
      <c r="E19" s="1">
        <v>1.4390000000000001</v>
      </c>
      <c r="F19" s="1">
        <v>0.80200000000000005</v>
      </c>
      <c r="G19" s="1">
        <v>0.39</v>
      </c>
      <c r="H19" s="1">
        <v>9.9000000000000005E-2</v>
      </c>
      <c r="I19" s="1">
        <v>8.5999999999999993E-2</v>
      </c>
      <c r="M19" s="1">
        <v>3.488</v>
      </c>
      <c r="N19" s="1">
        <f t="shared" si="0"/>
        <v>1.0409999999999999</v>
      </c>
    </row>
    <row r="20" spans="1:24" x14ac:dyDescent="0.3">
      <c r="A20" t="s">
        <v>24</v>
      </c>
      <c r="B20">
        <v>2019</v>
      </c>
      <c r="C20" s="1">
        <v>5.0110000000000001</v>
      </c>
      <c r="D20" s="1">
        <v>1.0920000000000001</v>
      </c>
      <c r="E20" s="1">
        <v>1.5129999999999999</v>
      </c>
      <c r="F20" s="1">
        <v>0.81499999999999995</v>
      </c>
      <c r="G20" s="1">
        <v>0.311</v>
      </c>
      <c r="H20" s="1">
        <v>8.1000000000000003E-2</v>
      </c>
      <c r="I20" s="1">
        <v>4.0000000000000001E-3</v>
      </c>
      <c r="M20" s="1">
        <v>6.3</v>
      </c>
      <c r="N20" s="1">
        <f t="shared" si="0"/>
        <v>1.004</v>
      </c>
    </row>
    <row r="21" spans="1:24" x14ac:dyDescent="0.3">
      <c r="A21" t="s">
        <v>25</v>
      </c>
      <c r="B21">
        <v>2019</v>
      </c>
      <c r="C21" s="1">
        <v>4.5869999999999997</v>
      </c>
      <c r="D21" s="1">
        <v>0.33100000000000002</v>
      </c>
      <c r="E21" s="1">
        <v>1.056</v>
      </c>
      <c r="F21" s="1">
        <v>0.38</v>
      </c>
      <c r="G21" s="1">
        <v>0.255</v>
      </c>
      <c r="H21" s="1">
        <v>0.17699999999999999</v>
      </c>
      <c r="I21" s="1">
        <v>0.113</v>
      </c>
      <c r="M21" s="1">
        <v>5.0110000000000001</v>
      </c>
      <c r="N21" s="1">
        <f t="shared" si="0"/>
        <v>1.0920000000000001</v>
      </c>
    </row>
    <row r="22" spans="1:24" x14ac:dyDescent="0.3">
      <c r="A22" t="s">
        <v>26</v>
      </c>
      <c r="B22">
        <v>2019</v>
      </c>
      <c r="C22" s="1">
        <v>3.7749999999999999</v>
      </c>
      <c r="D22" s="1">
        <v>4.5999999999999999E-2</v>
      </c>
      <c r="E22" s="1">
        <v>0.44700000000000001</v>
      </c>
      <c r="F22" s="1">
        <v>0.38</v>
      </c>
      <c r="G22" s="1">
        <v>0.22</v>
      </c>
      <c r="H22" s="1">
        <v>0.17599999999999999</v>
      </c>
      <c r="I22" s="1">
        <v>0.18</v>
      </c>
      <c r="M22" s="1">
        <v>4.5869999999999997</v>
      </c>
      <c r="N22" s="1">
        <f t="shared" si="0"/>
        <v>0.33100000000000002</v>
      </c>
      <c r="S22" t="s">
        <v>171</v>
      </c>
    </row>
    <row r="23" spans="1:24" ht="28.8" x14ac:dyDescent="0.3">
      <c r="A23" t="s">
        <v>27</v>
      </c>
      <c r="B23">
        <v>2019</v>
      </c>
      <c r="C23" s="1">
        <v>4.7</v>
      </c>
      <c r="D23" s="1">
        <v>0.57399999999999995</v>
      </c>
      <c r="E23" s="1">
        <v>1.1220000000000001</v>
      </c>
      <c r="F23" s="1">
        <v>0.63700000000000001</v>
      </c>
      <c r="G23" s="1">
        <v>0.60899999999999999</v>
      </c>
      <c r="H23" s="1">
        <v>0.23200000000000001</v>
      </c>
      <c r="I23" s="1">
        <v>6.2E-2</v>
      </c>
      <c r="M23" s="1">
        <v>3.7749999999999999</v>
      </c>
      <c r="N23" s="1">
        <f t="shared" si="0"/>
        <v>4.5999999999999999E-2</v>
      </c>
      <c r="R23" s="6" t="s">
        <v>173</v>
      </c>
      <c r="S23" s="6" t="s">
        <v>2</v>
      </c>
      <c r="T23" s="6" t="s">
        <v>172</v>
      </c>
      <c r="U23" s="6" t="s">
        <v>174</v>
      </c>
      <c r="V23" s="6" t="s">
        <v>3</v>
      </c>
      <c r="W23" s="6" t="s">
        <v>4</v>
      </c>
      <c r="X23" s="6" t="s">
        <v>5</v>
      </c>
    </row>
    <row r="24" spans="1:24" ht="18" x14ac:dyDescent="0.3">
      <c r="A24" t="s">
        <v>28</v>
      </c>
      <c r="B24">
        <v>2019</v>
      </c>
      <c r="C24" s="1">
        <v>5.0439999999999996</v>
      </c>
      <c r="D24" s="1">
        <v>0.54900000000000004</v>
      </c>
      <c r="E24" s="1">
        <v>0.91</v>
      </c>
      <c r="F24" s="1">
        <v>0.33100000000000002</v>
      </c>
      <c r="G24" s="1">
        <v>0.38100000000000001</v>
      </c>
      <c r="H24" s="1">
        <v>0.187</v>
      </c>
      <c r="I24" s="1">
        <v>3.6999999999999998E-2</v>
      </c>
      <c r="M24" s="1">
        <v>4.7</v>
      </c>
      <c r="N24" s="1">
        <f t="shared" si="0"/>
        <v>0.57399999999999995</v>
      </c>
      <c r="Q24" s="6" t="s">
        <v>173</v>
      </c>
      <c r="R24" s="5">
        <f>CORREL($C$2:$C$157,C2:C157)</f>
        <v>1.0000000000000002</v>
      </c>
      <c r="S24" s="5">
        <f t="shared" ref="S24:X24" si="1">CORREL($C$2:$C$157,D2:D157)</f>
        <v>0.79388286787812778</v>
      </c>
      <c r="T24" s="5">
        <f t="shared" si="1"/>
        <v>0.77705778806386427</v>
      </c>
      <c r="U24" s="5">
        <f t="shared" si="1"/>
        <v>0.7798831492425824</v>
      </c>
      <c r="V24" s="5">
        <f t="shared" si="1"/>
        <v>0.56674182571998988</v>
      </c>
      <c r="W24" s="5">
        <f t="shared" si="1"/>
        <v>7.5823694903896552E-2</v>
      </c>
      <c r="X24" s="5">
        <f t="shared" si="1"/>
        <v>0.3856130708664785</v>
      </c>
    </row>
    <row r="25" spans="1:24" ht="18" x14ac:dyDescent="0.3">
      <c r="A25" t="s">
        <v>29</v>
      </c>
      <c r="B25">
        <v>2019</v>
      </c>
      <c r="C25" s="1">
        <v>7.2779999999999996</v>
      </c>
      <c r="D25" s="1">
        <v>1.365</v>
      </c>
      <c r="E25" s="1">
        <v>1.5049999999999999</v>
      </c>
      <c r="F25" s="1">
        <v>1.0389999999999999</v>
      </c>
      <c r="G25" s="1">
        <v>0.58399999999999996</v>
      </c>
      <c r="H25" s="1">
        <v>0.28499999999999998</v>
      </c>
      <c r="I25" s="1">
        <v>0.308</v>
      </c>
      <c r="M25" s="1">
        <v>5.0439999999999996</v>
      </c>
      <c r="N25" s="1">
        <f t="shared" si="0"/>
        <v>0.54900000000000004</v>
      </c>
      <c r="Q25" s="6" t="s">
        <v>2</v>
      </c>
      <c r="R25" s="5">
        <f>CORREL($D$2:$D$157,C2:C157)</f>
        <v>0.79388286787812778</v>
      </c>
      <c r="S25" s="5">
        <f t="shared" ref="S25:X25" si="2">CORREL($D$2:$D$157,D2:D157)</f>
        <v>1</v>
      </c>
      <c r="T25" s="5">
        <f t="shared" si="2"/>
        <v>0.75490572724545668</v>
      </c>
      <c r="U25" s="5">
        <f t="shared" si="2"/>
        <v>0.83546211504160706</v>
      </c>
      <c r="V25" s="5">
        <f t="shared" si="2"/>
        <v>0.37907907217677161</v>
      </c>
      <c r="W25" s="5">
        <f t="shared" si="2"/>
        <v>-7.9662313489763936E-2</v>
      </c>
      <c r="X25" s="5">
        <f t="shared" si="2"/>
        <v>0.29891984568349272</v>
      </c>
    </row>
    <row r="26" spans="1:24" ht="18" x14ac:dyDescent="0.3">
      <c r="A26" t="s">
        <v>30</v>
      </c>
      <c r="B26">
        <v>2019</v>
      </c>
      <c r="C26" s="1">
        <v>3.0830000000000002</v>
      </c>
      <c r="D26" s="1">
        <v>2.5999999999999999E-2</v>
      </c>
      <c r="E26" s="1">
        <v>0</v>
      </c>
      <c r="F26" s="1">
        <v>0.105</v>
      </c>
      <c r="G26" s="1">
        <v>0.22500000000000001</v>
      </c>
      <c r="H26" s="1">
        <v>0.23499999999999999</v>
      </c>
      <c r="I26" s="1">
        <v>3.5000000000000003E-2</v>
      </c>
      <c r="M26" s="1">
        <v>7.2779999999999996</v>
      </c>
      <c r="N26" s="1">
        <f t="shared" si="0"/>
        <v>1.365</v>
      </c>
      <c r="Q26" s="6" t="s">
        <v>172</v>
      </c>
      <c r="R26" s="5">
        <f>CORREL($E$2:$E$157,C2:C157)</f>
        <v>0.77705778806386427</v>
      </c>
      <c r="S26" s="5">
        <f t="shared" ref="S26:X26" si="3">CORREL($E$2:$E$157,D2:D157)</f>
        <v>0.75490572724545668</v>
      </c>
      <c r="T26" s="5">
        <f t="shared" si="3"/>
        <v>0.99999999999999989</v>
      </c>
      <c r="U26" s="5">
        <f t="shared" si="3"/>
        <v>0.71900945903085567</v>
      </c>
      <c r="V26" s="5">
        <f t="shared" si="3"/>
        <v>0.44733316358770209</v>
      </c>
      <c r="W26" s="5">
        <f t="shared" si="3"/>
        <v>-4.8126454454326499E-2</v>
      </c>
      <c r="X26" s="5">
        <f t="shared" si="3"/>
        <v>0.18189946470087073</v>
      </c>
    </row>
    <row r="27" spans="1:24" ht="18" x14ac:dyDescent="0.3">
      <c r="A27" t="s">
        <v>31</v>
      </c>
      <c r="B27">
        <v>2019</v>
      </c>
      <c r="C27" s="1">
        <v>4.3499999999999996</v>
      </c>
      <c r="D27" s="1">
        <v>0.35</v>
      </c>
      <c r="E27" s="1">
        <v>0.76600000000000001</v>
      </c>
      <c r="F27" s="1">
        <v>0.192</v>
      </c>
      <c r="G27" s="1">
        <v>0.17399999999999999</v>
      </c>
      <c r="H27" s="1">
        <v>0.19800000000000001</v>
      </c>
      <c r="I27" s="1">
        <v>7.8E-2</v>
      </c>
      <c r="M27" s="1">
        <v>3.0830000000000002</v>
      </c>
      <c r="N27" s="1">
        <f t="shared" si="0"/>
        <v>2.5999999999999999E-2</v>
      </c>
      <c r="Q27" s="6" t="s">
        <v>174</v>
      </c>
      <c r="R27" s="5">
        <f>CORREL($F$2:$F$157,C2:C157)</f>
        <v>0.7798831492425824</v>
      </c>
      <c r="S27" s="5">
        <f t="shared" ref="S27:X27" si="4">CORREL($F$2:$F$157,D2:D157)</f>
        <v>0.83546211504160706</v>
      </c>
      <c r="T27" s="5">
        <f t="shared" si="4"/>
        <v>0.71900945903085567</v>
      </c>
      <c r="U27" s="5">
        <f t="shared" si="4"/>
        <v>0.99999999999999989</v>
      </c>
      <c r="V27" s="5">
        <f t="shared" si="4"/>
        <v>0.39039477647695736</v>
      </c>
      <c r="W27" s="5">
        <f t="shared" si="4"/>
        <v>-2.9510859651602158E-2</v>
      </c>
      <c r="X27" s="5">
        <f t="shared" si="4"/>
        <v>0.29528281242267906</v>
      </c>
    </row>
    <row r="28" spans="1:24" ht="18" x14ac:dyDescent="0.3">
      <c r="A28" t="s">
        <v>32</v>
      </c>
      <c r="B28">
        <v>2019</v>
      </c>
      <c r="C28" s="1">
        <v>6.444</v>
      </c>
      <c r="D28" s="1">
        <v>1.159</v>
      </c>
      <c r="E28" s="1">
        <v>1.369</v>
      </c>
      <c r="F28" s="1">
        <v>0.92</v>
      </c>
      <c r="G28" s="1">
        <v>0.35699999999999998</v>
      </c>
      <c r="H28" s="1">
        <v>0.187</v>
      </c>
      <c r="I28" s="1">
        <v>5.6000000000000001E-2</v>
      </c>
      <c r="M28" s="1">
        <v>4.3499999999999996</v>
      </c>
      <c r="N28" s="1">
        <f t="shared" si="0"/>
        <v>0.35</v>
      </c>
      <c r="Q28" s="6" t="s">
        <v>3</v>
      </c>
      <c r="R28" s="5">
        <f>CORREL($G$2:$G$157,C2:C157)</f>
        <v>0.56674182571998988</v>
      </c>
      <c r="S28" s="5">
        <f t="shared" ref="S28:X28" si="5">CORREL($G$2:$G$157,D2:D157)</f>
        <v>0.37907907217677161</v>
      </c>
      <c r="T28" s="5">
        <f t="shared" si="5"/>
        <v>0.44733316358770209</v>
      </c>
      <c r="U28" s="5">
        <f t="shared" si="5"/>
        <v>0.39039477647695736</v>
      </c>
      <c r="V28" s="5">
        <f t="shared" si="5"/>
        <v>0.99999999999999978</v>
      </c>
      <c r="W28" s="5">
        <f t="shared" si="5"/>
        <v>0.26974181407654368</v>
      </c>
      <c r="X28" s="5">
        <f t="shared" si="5"/>
        <v>0.43884330641506725</v>
      </c>
    </row>
    <row r="29" spans="1:24" ht="18" x14ac:dyDescent="0.3">
      <c r="A29" t="s">
        <v>33</v>
      </c>
      <c r="B29">
        <v>2019</v>
      </c>
      <c r="C29" s="1">
        <v>5.1909999999999998</v>
      </c>
      <c r="D29" s="1">
        <v>1.0289999999999999</v>
      </c>
      <c r="E29" s="1">
        <v>1.125</v>
      </c>
      <c r="F29" s="1">
        <v>0.89300000000000002</v>
      </c>
      <c r="G29" s="1">
        <v>0.52100000000000002</v>
      </c>
      <c r="H29" s="1">
        <v>5.8000000000000003E-2</v>
      </c>
      <c r="I29" s="1">
        <v>0.1</v>
      </c>
      <c r="M29" s="1">
        <v>6.444</v>
      </c>
      <c r="N29" s="1">
        <f t="shared" si="0"/>
        <v>1.159</v>
      </c>
      <c r="Q29" s="6" t="s">
        <v>4</v>
      </c>
      <c r="R29" s="5">
        <f>CORREL($H$2:$H$157,C2:C157)</f>
        <v>7.5823694903896552E-2</v>
      </c>
      <c r="S29" s="5">
        <f t="shared" ref="S29:X29" si="6">CORREL($H$2:$H$157,D2:D157)</f>
        <v>-7.9662313489763936E-2</v>
      </c>
      <c r="T29" s="5">
        <f t="shared" si="6"/>
        <v>-4.8126454454326499E-2</v>
      </c>
      <c r="U29" s="5">
        <f t="shared" si="6"/>
        <v>-2.9510859651602158E-2</v>
      </c>
      <c r="V29" s="5">
        <f t="shared" si="6"/>
        <v>0.26974181407654368</v>
      </c>
      <c r="W29" s="5">
        <f t="shared" si="6"/>
        <v>1.0000000000000002</v>
      </c>
      <c r="X29" s="5">
        <f t="shared" si="6"/>
        <v>0.32653754340500746</v>
      </c>
    </row>
    <row r="30" spans="1:24" ht="18" x14ac:dyDescent="0.3">
      <c r="A30" t="s">
        <v>34</v>
      </c>
      <c r="B30">
        <v>2019</v>
      </c>
      <c r="C30" s="1">
        <v>6.125</v>
      </c>
      <c r="D30" s="1">
        <v>0.98499999999999999</v>
      </c>
      <c r="E30" s="1">
        <v>1.41</v>
      </c>
      <c r="F30" s="1">
        <v>0.84099999999999997</v>
      </c>
      <c r="G30" s="1">
        <v>0.47</v>
      </c>
      <c r="H30" s="1">
        <v>9.9000000000000005E-2</v>
      </c>
      <c r="I30" s="1">
        <v>3.4000000000000002E-2</v>
      </c>
      <c r="M30" s="1">
        <v>5.1909999999999998</v>
      </c>
      <c r="N30" s="1">
        <f t="shared" si="0"/>
        <v>1.0289999999999999</v>
      </c>
      <c r="Q30" s="6" t="s">
        <v>5</v>
      </c>
      <c r="R30" s="5">
        <f>CORREL($I$2:$I$157,C2:C157)</f>
        <v>0.3856130708664785</v>
      </c>
      <c r="S30" s="5">
        <f t="shared" ref="S30:X30" si="7">CORREL($I$2:$I$157,D2:D157)</f>
        <v>0.29891984568349272</v>
      </c>
      <c r="T30" s="5">
        <f t="shared" si="7"/>
        <v>0.18189946470087073</v>
      </c>
      <c r="U30" s="5">
        <f t="shared" si="7"/>
        <v>0.29528281242267906</v>
      </c>
      <c r="V30" s="5">
        <f t="shared" si="7"/>
        <v>0.43884330641506725</v>
      </c>
      <c r="W30" s="5">
        <f t="shared" si="7"/>
        <v>0.32653754340500746</v>
      </c>
      <c r="X30" s="5">
        <f t="shared" si="7"/>
        <v>1.0000000000000002</v>
      </c>
    </row>
    <row r="31" spans="1:24" x14ac:dyDescent="0.3">
      <c r="A31" t="s">
        <v>35</v>
      </c>
      <c r="B31">
        <v>2019</v>
      </c>
      <c r="C31" s="1">
        <v>3.9729999999999999</v>
      </c>
      <c r="D31" s="1">
        <v>0.27400000000000002</v>
      </c>
      <c r="E31" s="1">
        <v>0.75700000000000001</v>
      </c>
      <c r="F31" s="1">
        <v>0.505</v>
      </c>
      <c r="G31" s="1">
        <v>0.14199999999999999</v>
      </c>
      <c r="H31" s="1">
        <v>0.27500000000000002</v>
      </c>
      <c r="I31" s="1">
        <v>7.8E-2</v>
      </c>
      <c r="M31" s="1">
        <v>6.125</v>
      </c>
      <c r="N31" s="1">
        <f t="shared" si="0"/>
        <v>0.98499999999999999</v>
      </c>
    </row>
    <row r="32" spans="1:24" x14ac:dyDescent="0.3">
      <c r="A32" t="s">
        <v>36</v>
      </c>
      <c r="B32">
        <v>2019</v>
      </c>
      <c r="C32" s="1">
        <v>4.8120000000000003</v>
      </c>
      <c r="D32" s="1">
        <v>0.67300000000000004</v>
      </c>
      <c r="E32" s="1">
        <v>0.79900000000000004</v>
      </c>
      <c r="F32" s="1">
        <v>0.50800000000000001</v>
      </c>
      <c r="G32" s="1">
        <v>0.372</v>
      </c>
      <c r="H32" s="1">
        <v>0.105</v>
      </c>
      <c r="I32" s="1">
        <v>9.2999999999999999E-2</v>
      </c>
      <c r="M32" s="1">
        <v>3.9729999999999999</v>
      </c>
      <c r="N32" s="1">
        <f t="shared" si="0"/>
        <v>0.27400000000000002</v>
      </c>
    </row>
    <row r="33" spans="1:14" x14ac:dyDescent="0.3">
      <c r="A33" t="s">
        <v>37</v>
      </c>
      <c r="B33">
        <v>2019</v>
      </c>
      <c r="C33" s="1">
        <v>4.4180000000000001</v>
      </c>
      <c r="D33" s="1">
        <v>9.4E-2</v>
      </c>
      <c r="E33" s="1">
        <v>1.125</v>
      </c>
      <c r="F33" s="1">
        <v>0.35699999999999998</v>
      </c>
      <c r="G33" s="1">
        <v>0.26900000000000002</v>
      </c>
      <c r="H33" s="1">
        <v>0.21199999999999999</v>
      </c>
      <c r="I33" s="1">
        <v>5.2999999999999999E-2</v>
      </c>
      <c r="M33" s="1">
        <v>4.8120000000000003</v>
      </c>
      <c r="N33" s="1">
        <f t="shared" si="0"/>
        <v>0.67300000000000004</v>
      </c>
    </row>
    <row r="34" spans="1:14" x14ac:dyDescent="0.3">
      <c r="A34" t="s">
        <v>38</v>
      </c>
      <c r="B34">
        <v>2019</v>
      </c>
      <c r="C34" s="1">
        <v>7.1669999999999998</v>
      </c>
      <c r="D34" s="1">
        <v>1.034</v>
      </c>
      <c r="E34" s="1">
        <v>1.4410000000000001</v>
      </c>
      <c r="F34" s="1">
        <v>0.96299999999999997</v>
      </c>
      <c r="G34" s="1">
        <v>0.55800000000000005</v>
      </c>
      <c r="H34" s="1">
        <v>0.14399999999999999</v>
      </c>
      <c r="I34" s="1">
        <v>9.2999999999999999E-2</v>
      </c>
      <c r="M34" s="1">
        <v>4.4180000000000001</v>
      </c>
      <c r="N34" s="1">
        <f t="shared" si="0"/>
        <v>9.4E-2</v>
      </c>
    </row>
    <row r="35" spans="1:14" x14ac:dyDescent="0.3">
      <c r="A35" t="s">
        <v>39</v>
      </c>
      <c r="B35">
        <v>2019</v>
      </c>
      <c r="C35" s="1">
        <v>5.4320000000000004</v>
      </c>
      <c r="D35" s="1">
        <v>1.155</v>
      </c>
      <c r="E35" s="1">
        <v>1.266</v>
      </c>
      <c r="F35" s="1">
        <v>0.91400000000000003</v>
      </c>
      <c r="G35" s="1">
        <v>0.29599999999999999</v>
      </c>
      <c r="H35" s="1">
        <v>0.11899999999999999</v>
      </c>
      <c r="I35" s="1">
        <v>2.1999999999999999E-2</v>
      </c>
      <c r="M35" s="1">
        <v>7.1669999999999998</v>
      </c>
      <c r="N35" s="1">
        <f t="shared" si="0"/>
        <v>1.034</v>
      </c>
    </row>
    <row r="36" spans="1:14" x14ac:dyDescent="0.3">
      <c r="A36" t="s">
        <v>40</v>
      </c>
      <c r="B36">
        <v>2019</v>
      </c>
      <c r="C36" s="1">
        <v>6.0460000000000003</v>
      </c>
      <c r="D36" s="1">
        <v>1.2629999999999999</v>
      </c>
      <c r="E36" s="1">
        <v>1.2230000000000001</v>
      </c>
      <c r="F36" s="1">
        <v>1.042</v>
      </c>
      <c r="G36" s="1">
        <v>0.40600000000000003</v>
      </c>
      <c r="H36" s="1">
        <v>0.19</v>
      </c>
      <c r="I36" s="1">
        <v>4.1000000000000002E-2</v>
      </c>
      <c r="M36" s="1">
        <v>5.4320000000000004</v>
      </c>
      <c r="N36" s="1">
        <f t="shared" si="0"/>
        <v>1.155</v>
      </c>
    </row>
    <row r="37" spans="1:14" x14ac:dyDescent="0.3">
      <c r="A37" t="s">
        <v>41</v>
      </c>
      <c r="B37">
        <v>2019</v>
      </c>
      <c r="C37" s="1">
        <v>6.8520000000000003</v>
      </c>
      <c r="D37" s="1">
        <v>1.2689999999999999</v>
      </c>
      <c r="E37" s="1">
        <v>1.4870000000000001</v>
      </c>
      <c r="F37" s="1">
        <v>0.92</v>
      </c>
      <c r="G37" s="1">
        <v>0.45700000000000002</v>
      </c>
      <c r="H37" s="1">
        <v>4.5999999999999999E-2</v>
      </c>
      <c r="I37" s="1">
        <v>3.5999999999999997E-2</v>
      </c>
      <c r="M37" s="1">
        <v>6.0460000000000003</v>
      </c>
      <c r="N37" s="1">
        <f t="shared" si="0"/>
        <v>1.2629999999999999</v>
      </c>
    </row>
    <row r="38" spans="1:14" x14ac:dyDescent="0.3">
      <c r="A38" t="s">
        <v>42</v>
      </c>
      <c r="B38">
        <v>2019</v>
      </c>
      <c r="C38" s="1">
        <v>7.6</v>
      </c>
      <c r="D38" s="1">
        <v>1.383</v>
      </c>
      <c r="E38" s="1">
        <v>1.573</v>
      </c>
      <c r="F38" s="1">
        <v>0.996</v>
      </c>
      <c r="G38" s="1">
        <v>0.59199999999999997</v>
      </c>
      <c r="H38" s="1">
        <v>0.252</v>
      </c>
      <c r="I38" s="1">
        <v>0.41</v>
      </c>
      <c r="M38" s="1">
        <v>6.8520000000000003</v>
      </c>
      <c r="N38" s="1">
        <f t="shared" si="0"/>
        <v>1.2689999999999999</v>
      </c>
    </row>
    <row r="39" spans="1:14" x14ac:dyDescent="0.3">
      <c r="A39" t="s">
        <v>43</v>
      </c>
      <c r="B39">
        <v>2019</v>
      </c>
      <c r="C39" s="1">
        <v>5.4249999999999998</v>
      </c>
      <c r="D39" s="1">
        <v>1.0149999999999999</v>
      </c>
      <c r="E39" s="1">
        <v>1.401</v>
      </c>
      <c r="F39" s="1">
        <v>0.77900000000000003</v>
      </c>
      <c r="G39" s="1">
        <v>0.497</v>
      </c>
      <c r="H39" s="1">
        <v>0.113</v>
      </c>
      <c r="I39" s="1">
        <v>0.10100000000000001</v>
      </c>
      <c r="M39" s="1">
        <v>7.6</v>
      </c>
      <c r="N39" s="1">
        <f t="shared" si="0"/>
        <v>1.383</v>
      </c>
    </row>
    <row r="40" spans="1:14" x14ac:dyDescent="0.3">
      <c r="A40" t="s">
        <v>44</v>
      </c>
      <c r="B40">
        <v>2019</v>
      </c>
      <c r="C40" s="1">
        <v>6.0279999999999996</v>
      </c>
      <c r="D40" s="1">
        <v>0.91200000000000003</v>
      </c>
      <c r="E40" s="1">
        <v>1.3120000000000001</v>
      </c>
      <c r="F40" s="1">
        <v>0.86799999999999999</v>
      </c>
      <c r="G40" s="1">
        <v>0.498</v>
      </c>
      <c r="H40" s="1">
        <v>0.126</v>
      </c>
      <c r="I40" s="1">
        <v>8.6999999999999994E-2</v>
      </c>
      <c r="M40" s="1">
        <v>5.4249999999999998</v>
      </c>
      <c r="N40" s="1">
        <f t="shared" si="0"/>
        <v>1.0149999999999999</v>
      </c>
    </row>
    <row r="41" spans="1:14" x14ac:dyDescent="0.3">
      <c r="A41" t="s">
        <v>45</v>
      </c>
      <c r="B41">
        <v>2019</v>
      </c>
      <c r="C41" s="1">
        <v>4.1660000000000004</v>
      </c>
      <c r="D41" s="1">
        <v>0.91300000000000003</v>
      </c>
      <c r="E41" s="1">
        <v>1.0389999999999999</v>
      </c>
      <c r="F41" s="1">
        <v>0.64400000000000002</v>
      </c>
      <c r="G41" s="1">
        <v>0.24099999999999999</v>
      </c>
      <c r="H41" s="1">
        <v>7.5999999999999998E-2</v>
      </c>
      <c r="I41" s="1">
        <v>6.7000000000000004E-2</v>
      </c>
      <c r="M41" s="1">
        <v>6.0279999999999996</v>
      </c>
      <c r="N41" s="1">
        <f t="shared" si="0"/>
        <v>0.91200000000000003</v>
      </c>
    </row>
    <row r="42" spans="1:14" x14ac:dyDescent="0.3">
      <c r="A42" t="s">
        <v>46</v>
      </c>
      <c r="B42">
        <v>2019</v>
      </c>
      <c r="C42" s="1">
        <v>6.2530000000000001</v>
      </c>
      <c r="D42" s="1">
        <v>0.79400000000000004</v>
      </c>
      <c r="E42" s="1">
        <v>1.242</v>
      </c>
      <c r="F42" s="1">
        <v>0.78900000000000003</v>
      </c>
      <c r="G42" s="1">
        <v>0.43</v>
      </c>
      <c r="H42" s="1">
        <v>9.2999999999999999E-2</v>
      </c>
      <c r="I42" s="1">
        <v>7.3999999999999996E-2</v>
      </c>
      <c r="M42" s="1">
        <v>4.1660000000000004</v>
      </c>
      <c r="N42" s="1">
        <f t="shared" si="0"/>
        <v>0.91300000000000003</v>
      </c>
    </row>
    <row r="43" spans="1:14" x14ac:dyDescent="0.3">
      <c r="A43" t="s">
        <v>47</v>
      </c>
      <c r="B43">
        <v>2019</v>
      </c>
      <c r="C43" s="1">
        <v>5.8929999999999998</v>
      </c>
      <c r="D43" s="1">
        <v>1.2370000000000001</v>
      </c>
      <c r="E43" s="1">
        <v>1.528</v>
      </c>
      <c r="F43" s="1">
        <v>0.874</v>
      </c>
      <c r="G43" s="1">
        <v>0.495</v>
      </c>
      <c r="H43" s="1">
        <v>0.10299999999999999</v>
      </c>
      <c r="I43" s="1">
        <v>0.161</v>
      </c>
      <c r="M43" s="1">
        <v>6.2530000000000001</v>
      </c>
      <c r="N43" s="1">
        <f t="shared" si="0"/>
        <v>0.79400000000000004</v>
      </c>
    </row>
    <row r="44" spans="1:14" x14ac:dyDescent="0.3">
      <c r="A44" t="s">
        <v>48</v>
      </c>
      <c r="B44">
        <v>2019</v>
      </c>
      <c r="C44" s="1">
        <v>4.2859999999999996</v>
      </c>
      <c r="D44" s="1">
        <v>0.33600000000000002</v>
      </c>
      <c r="E44" s="1">
        <v>1.0329999999999999</v>
      </c>
      <c r="F44" s="1">
        <v>0.53200000000000003</v>
      </c>
      <c r="G44" s="1">
        <v>0.34399999999999997</v>
      </c>
      <c r="H44" s="1">
        <v>0.20899999999999999</v>
      </c>
      <c r="I44" s="1">
        <v>0.1</v>
      </c>
      <c r="M44" s="1">
        <v>5.8929999999999998</v>
      </c>
      <c r="N44" s="1">
        <f t="shared" si="0"/>
        <v>1.2370000000000001</v>
      </c>
    </row>
    <row r="45" spans="1:14" x14ac:dyDescent="0.3">
      <c r="A45" t="s">
        <v>49</v>
      </c>
      <c r="B45">
        <v>2019</v>
      </c>
      <c r="C45" s="1">
        <v>7.7690000000000001</v>
      </c>
      <c r="D45" s="1">
        <v>1.34</v>
      </c>
      <c r="E45" s="1">
        <v>1.587</v>
      </c>
      <c r="F45" s="1">
        <v>0.98599999999999999</v>
      </c>
      <c r="G45" s="1">
        <v>0.59599999999999997</v>
      </c>
      <c r="H45" s="1">
        <v>0.153</v>
      </c>
      <c r="I45" s="1">
        <v>0.39300000000000002</v>
      </c>
      <c r="M45" s="1">
        <v>4.2859999999999996</v>
      </c>
      <c r="N45" s="1">
        <f t="shared" si="0"/>
        <v>0.33600000000000002</v>
      </c>
    </row>
    <row r="46" spans="1:14" x14ac:dyDescent="0.3">
      <c r="A46" t="s">
        <v>50</v>
      </c>
      <c r="B46">
        <v>2019</v>
      </c>
      <c r="C46" s="1">
        <v>6.5919999999999996</v>
      </c>
      <c r="D46" s="1">
        <v>1.3240000000000001</v>
      </c>
      <c r="E46" s="1">
        <v>1.472</v>
      </c>
      <c r="F46" s="1">
        <v>1.0449999999999999</v>
      </c>
      <c r="G46" s="1">
        <v>0.436</v>
      </c>
      <c r="H46" s="1">
        <v>0.111</v>
      </c>
      <c r="I46" s="1">
        <v>0.183</v>
      </c>
      <c r="M46" s="1">
        <v>7.7690000000000001</v>
      </c>
      <c r="N46" s="1">
        <f t="shared" si="0"/>
        <v>1.34</v>
      </c>
    </row>
    <row r="47" spans="1:14" x14ac:dyDescent="0.3">
      <c r="A47" t="s">
        <v>51</v>
      </c>
      <c r="B47">
        <v>2019</v>
      </c>
      <c r="C47" s="1">
        <v>4.7990000000000004</v>
      </c>
      <c r="D47" s="1">
        <v>1.0569999999999999</v>
      </c>
      <c r="E47" s="1">
        <v>1.1830000000000001</v>
      </c>
      <c r="F47" s="1">
        <v>0.57099999999999995</v>
      </c>
      <c r="G47" s="1">
        <v>0.29499999999999998</v>
      </c>
      <c r="H47" s="1">
        <v>4.2999999999999997E-2</v>
      </c>
      <c r="I47" s="1">
        <v>5.5E-2</v>
      </c>
      <c r="M47" s="1">
        <v>6.5919999999999996</v>
      </c>
      <c r="N47" s="1">
        <f t="shared" si="0"/>
        <v>1.3240000000000001</v>
      </c>
    </row>
    <row r="48" spans="1:14" x14ac:dyDescent="0.3">
      <c r="A48" t="s">
        <v>52</v>
      </c>
      <c r="B48">
        <v>2019</v>
      </c>
      <c r="C48" s="1">
        <v>4.516</v>
      </c>
      <c r="D48" s="1">
        <v>0.308</v>
      </c>
      <c r="E48" s="1">
        <v>0.93899999999999995</v>
      </c>
      <c r="F48" s="1">
        <v>0.42799999999999999</v>
      </c>
      <c r="G48" s="1">
        <v>0.38200000000000001</v>
      </c>
      <c r="H48" s="1">
        <v>0.26900000000000002</v>
      </c>
      <c r="I48" s="1">
        <v>0.16700000000000001</v>
      </c>
      <c r="M48" s="1">
        <v>4.7990000000000004</v>
      </c>
      <c r="N48" s="1">
        <f t="shared" si="0"/>
        <v>1.0569999999999999</v>
      </c>
    </row>
    <row r="49" spans="1:14" x14ac:dyDescent="0.3">
      <c r="A49" t="s">
        <v>53</v>
      </c>
      <c r="B49">
        <v>2019</v>
      </c>
      <c r="C49" s="1">
        <v>4.5190000000000001</v>
      </c>
      <c r="D49" s="1">
        <v>0.88600000000000001</v>
      </c>
      <c r="E49" s="1">
        <v>0.66600000000000004</v>
      </c>
      <c r="F49" s="1">
        <v>0.752</v>
      </c>
      <c r="G49" s="1">
        <v>0.34599999999999997</v>
      </c>
      <c r="H49" s="1">
        <v>4.2999999999999997E-2</v>
      </c>
      <c r="I49" s="1">
        <v>0.16400000000000001</v>
      </c>
      <c r="M49" s="1">
        <v>4.516</v>
      </c>
      <c r="N49" s="1">
        <f t="shared" si="0"/>
        <v>0.308</v>
      </c>
    </row>
    <row r="50" spans="1:14" x14ac:dyDescent="0.3">
      <c r="A50" t="s">
        <v>54</v>
      </c>
      <c r="B50">
        <v>2019</v>
      </c>
      <c r="C50" s="1">
        <v>6.9850000000000003</v>
      </c>
      <c r="D50" s="1">
        <v>1.373</v>
      </c>
      <c r="E50" s="1">
        <v>1.454</v>
      </c>
      <c r="F50" s="1">
        <v>0.98699999999999999</v>
      </c>
      <c r="G50" s="1">
        <v>0.495</v>
      </c>
      <c r="H50" s="1">
        <v>0.26100000000000001</v>
      </c>
      <c r="I50" s="1">
        <v>0.26500000000000001</v>
      </c>
      <c r="M50" s="1">
        <v>4.5190000000000001</v>
      </c>
      <c r="N50" s="1">
        <f t="shared" si="0"/>
        <v>0.88600000000000001</v>
      </c>
    </row>
    <row r="51" spans="1:14" x14ac:dyDescent="0.3">
      <c r="A51" t="s">
        <v>55</v>
      </c>
      <c r="B51">
        <v>2019</v>
      </c>
      <c r="C51" s="1">
        <v>4.9960000000000004</v>
      </c>
      <c r="D51" s="1">
        <v>0.61099999999999999</v>
      </c>
      <c r="E51" s="1">
        <v>0.86799999999999999</v>
      </c>
      <c r="F51" s="1">
        <v>0.48599999999999999</v>
      </c>
      <c r="G51" s="1">
        <v>0.38100000000000001</v>
      </c>
      <c r="H51" s="1">
        <v>0.245</v>
      </c>
      <c r="I51" s="1">
        <v>0.04</v>
      </c>
      <c r="M51" s="1">
        <v>6.9850000000000003</v>
      </c>
      <c r="N51" s="1">
        <f t="shared" si="0"/>
        <v>1.373</v>
      </c>
    </row>
    <row r="52" spans="1:14" x14ac:dyDescent="0.3">
      <c r="A52" t="s">
        <v>56</v>
      </c>
      <c r="B52">
        <v>2019</v>
      </c>
      <c r="C52" s="1">
        <v>5.2869999999999999</v>
      </c>
      <c r="D52" s="1">
        <v>1.181</v>
      </c>
      <c r="E52" s="1">
        <v>1.1559999999999999</v>
      </c>
      <c r="F52" s="1">
        <v>0.999</v>
      </c>
      <c r="G52" s="1">
        <v>6.7000000000000004E-2</v>
      </c>
      <c r="H52" s="1">
        <v>0</v>
      </c>
      <c r="I52" s="1">
        <v>3.4000000000000002E-2</v>
      </c>
      <c r="M52" s="1">
        <v>4.9960000000000004</v>
      </c>
      <c r="N52" s="1">
        <f t="shared" si="0"/>
        <v>0.61099999999999999</v>
      </c>
    </row>
    <row r="53" spans="1:14" x14ac:dyDescent="0.3">
      <c r="A53" t="s">
        <v>57</v>
      </c>
      <c r="B53">
        <v>2019</v>
      </c>
      <c r="C53" s="1">
        <v>6.4359999999999999</v>
      </c>
      <c r="D53" s="1">
        <v>0.8</v>
      </c>
      <c r="E53" s="1">
        <v>1.2689999999999999</v>
      </c>
      <c r="F53" s="1">
        <v>0.746</v>
      </c>
      <c r="G53" s="1">
        <v>0.53500000000000003</v>
      </c>
      <c r="H53" s="1">
        <v>0.17499999999999999</v>
      </c>
      <c r="I53" s="1">
        <v>7.8E-2</v>
      </c>
      <c r="M53" s="1">
        <v>5.2869999999999999</v>
      </c>
      <c r="N53" s="1">
        <f t="shared" si="0"/>
        <v>1.181</v>
      </c>
    </row>
    <row r="54" spans="1:14" x14ac:dyDescent="0.3">
      <c r="A54" t="s">
        <v>58</v>
      </c>
      <c r="B54">
        <v>2019</v>
      </c>
      <c r="C54" s="1">
        <v>4.5339999999999998</v>
      </c>
      <c r="D54" s="1">
        <v>0.38</v>
      </c>
      <c r="E54" s="1">
        <v>0.82899999999999996</v>
      </c>
      <c r="F54" s="1">
        <v>0.375</v>
      </c>
      <c r="G54" s="1">
        <v>0.33200000000000002</v>
      </c>
      <c r="H54" s="1">
        <v>0.20699999999999999</v>
      </c>
      <c r="I54" s="1">
        <v>8.5999999999999993E-2</v>
      </c>
      <c r="M54" s="1">
        <v>6.4359999999999999</v>
      </c>
      <c r="N54" s="1">
        <f t="shared" si="0"/>
        <v>0.8</v>
      </c>
    </row>
    <row r="55" spans="1:14" x14ac:dyDescent="0.3">
      <c r="A55" t="s">
        <v>59</v>
      </c>
      <c r="B55">
        <v>2019</v>
      </c>
      <c r="C55" s="1">
        <v>3.597</v>
      </c>
      <c r="D55" s="1">
        <v>0.32300000000000001</v>
      </c>
      <c r="E55" s="1">
        <v>0.68799999999999994</v>
      </c>
      <c r="F55" s="1">
        <v>0.44900000000000001</v>
      </c>
      <c r="G55" s="1">
        <v>2.5999999999999999E-2</v>
      </c>
      <c r="H55" s="1">
        <v>0.41899999999999998</v>
      </c>
      <c r="I55" s="1">
        <v>0.11</v>
      </c>
      <c r="M55" s="1">
        <v>4.5339999999999998</v>
      </c>
      <c r="N55" s="1">
        <f t="shared" si="0"/>
        <v>0.38</v>
      </c>
    </row>
    <row r="56" spans="1:14" x14ac:dyDescent="0.3">
      <c r="A56" t="s">
        <v>60</v>
      </c>
      <c r="B56">
        <v>2019</v>
      </c>
      <c r="C56" s="1">
        <v>5.86</v>
      </c>
      <c r="D56" s="1">
        <v>0.64200000000000002</v>
      </c>
      <c r="E56" s="1">
        <v>1.236</v>
      </c>
      <c r="F56" s="1">
        <v>0.82799999999999996</v>
      </c>
      <c r="G56" s="1">
        <v>0.50700000000000001</v>
      </c>
      <c r="H56" s="1">
        <v>0.246</v>
      </c>
      <c r="I56" s="1">
        <v>7.8E-2</v>
      </c>
      <c r="M56" s="1">
        <v>3.597</v>
      </c>
      <c r="N56" s="1">
        <f t="shared" si="0"/>
        <v>0.32300000000000001</v>
      </c>
    </row>
    <row r="57" spans="1:14" x14ac:dyDescent="0.3">
      <c r="A57" t="s">
        <v>61</v>
      </c>
      <c r="B57">
        <v>2019</v>
      </c>
      <c r="C57" s="1">
        <v>5.43</v>
      </c>
      <c r="D57" s="1">
        <v>1.4379999999999999</v>
      </c>
      <c r="E57" s="1">
        <v>1.2769999999999999</v>
      </c>
      <c r="F57" s="1">
        <v>1.1220000000000001</v>
      </c>
      <c r="G57" s="1">
        <v>0.44</v>
      </c>
      <c r="H57" s="1">
        <v>0.25800000000000001</v>
      </c>
      <c r="I57" s="1">
        <v>0.28699999999999998</v>
      </c>
      <c r="M57" s="1">
        <v>5.86</v>
      </c>
      <c r="N57" s="1">
        <f t="shared" si="0"/>
        <v>0.64200000000000002</v>
      </c>
    </row>
    <row r="58" spans="1:14" x14ac:dyDescent="0.3">
      <c r="A58" t="s">
        <v>62</v>
      </c>
      <c r="B58">
        <v>2019</v>
      </c>
      <c r="C58" s="1">
        <v>5.758</v>
      </c>
      <c r="D58" s="1">
        <v>1.2010000000000001</v>
      </c>
      <c r="E58" s="1">
        <v>1.41</v>
      </c>
      <c r="F58" s="1">
        <v>0.82799999999999996</v>
      </c>
      <c r="G58" s="1">
        <v>0.19900000000000001</v>
      </c>
      <c r="H58" s="1">
        <v>8.1000000000000003E-2</v>
      </c>
      <c r="I58" s="1">
        <v>0.02</v>
      </c>
      <c r="M58" s="1">
        <v>5.43</v>
      </c>
      <c r="N58" s="1">
        <f t="shared" si="0"/>
        <v>1.4379999999999999</v>
      </c>
    </row>
    <row r="59" spans="1:14" x14ac:dyDescent="0.3">
      <c r="A59" t="s">
        <v>63</v>
      </c>
      <c r="B59">
        <v>2019</v>
      </c>
      <c r="C59" s="1">
        <v>7.4939999999999998</v>
      </c>
      <c r="D59" s="1">
        <v>1.38</v>
      </c>
      <c r="E59" s="1">
        <v>1.6240000000000001</v>
      </c>
      <c r="F59" s="1">
        <v>1.026</v>
      </c>
      <c r="G59" s="1">
        <v>0.59099999999999997</v>
      </c>
      <c r="H59" s="1">
        <v>0.35399999999999998</v>
      </c>
      <c r="I59" s="1">
        <v>0.11799999999999999</v>
      </c>
      <c r="M59" s="1">
        <v>5.758</v>
      </c>
      <c r="N59" s="1">
        <f t="shared" si="0"/>
        <v>1.2010000000000001</v>
      </c>
    </row>
    <row r="60" spans="1:14" x14ac:dyDescent="0.3">
      <c r="A60" t="s">
        <v>64</v>
      </c>
      <c r="B60">
        <v>2019</v>
      </c>
      <c r="C60" s="1">
        <v>4.0149999999999997</v>
      </c>
      <c r="D60" s="1">
        <v>0.755</v>
      </c>
      <c r="E60" s="1">
        <v>0.76500000000000001</v>
      </c>
      <c r="F60" s="1">
        <v>0.58799999999999997</v>
      </c>
      <c r="G60" s="1">
        <v>0.498</v>
      </c>
      <c r="H60" s="1">
        <v>0.2</v>
      </c>
      <c r="I60" s="1">
        <v>8.5000000000000006E-2</v>
      </c>
      <c r="M60" s="1">
        <v>7.4939999999999998</v>
      </c>
      <c r="N60" s="1">
        <f t="shared" si="0"/>
        <v>1.38</v>
      </c>
    </row>
    <row r="61" spans="1:14" x14ac:dyDescent="0.3">
      <c r="A61" t="s">
        <v>65</v>
      </c>
      <c r="B61">
        <v>2019</v>
      </c>
      <c r="C61" s="1">
        <v>5.1920000000000002</v>
      </c>
      <c r="D61" s="1">
        <v>0.93100000000000005</v>
      </c>
      <c r="E61" s="1">
        <v>1.2030000000000001</v>
      </c>
      <c r="F61" s="1">
        <v>0.66</v>
      </c>
      <c r="G61" s="1">
        <v>0.49099999999999999</v>
      </c>
      <c r="H61" s="1">
        <v>0.498</v>
      </c>
      <c r="I61" s="1">
        <v>2.8000000000000001E-2</v>
      </c>
      <c r="M61" s="1">
        <v>4.0149999999999997</v>
      </c>
      <c r="N61" s="1">
        <f t="shared" si="0"/>
        <v>0.755</v>
      </c>
    </row>
    <row r="62" spans="1:14" x14ac:dyDescent="0.3">
      <c r="A62" t="s">
        <v>66</v>
      </c>
      <c r="B62">
        <v>2019</v>
      </c>
      <c r="C62" s="1">
        <v>4.548</v>
      </c>
      <c r="D62" s="1">
        <v>1.1000000000000001</v>
      </c>
      <c r="E62" s="1">
        <v>0.84199999999999997</v>
      </c>
      <c r="F62" s="1">
        <v>0.78500000000000003</v>
      </c>
      <c r="G62" s="1">
        <v>0.30499999999999999</v>
      </c>
      <c r="H62" s="1">
        <v>0.27</v>
      </c>
      <c r="I62" s="1">
        <v>0.125</v>
      </c>
      <c r="M62" s="1">
        <v>5.1920000000000002</v>
      </c>
      <c r="N62" s="1">
        <f t="shared" si="0"/>
        <v>0.93100000000000005</v>
      </c>
    </row>
    <row r="63" spans="1:14" x14ac:dyDescent="0.3">
      <c r="A63" t="s">
        <v>67</v>
      </c>
      <c r="B63">
        <v>2019</v>
      </c>
      <c r="C63" s="1">
        <v>4.4370000000000003</v>
      </c>
      <c r="D63" s="1">
        <v>1.0429999999999999</v>
      </c>
      <c r="E63" s="1">
        <v>0.98</v>
      </c>
      <c r="F63" s="1">
        <v>0.57399999999999995</v>
      </c>
      <c r="G63" s="1">
        <v>0.24099999999999999</v>
      </c>
      <c r="H63" s="1">
        <v>0.14799999999999999</v>
      </c>
      <c r="I63" s="1">
        <v>8.8999999999999996E-2</v>
      </c>
      <c r="M63" s="1">
        <v>4.548</v>
      </c>
      <c r="N63" s="1">
        <f t="shared" si="0"/>
        <v>1.1000000000000001</v>
      </c>
    </row>
    <row r="64" spans="1:14" x14ac:dyDescent="0.3">
      <c r="A64" t="s">
        <v>68</v>
      </c>
      <c r="B64">
        <v>2019</v>
      </c>
      <c r="C64" s="1">
        <v>7.0209999999999999</v>
      </c>
      <c r="D64" s="1">
        <v>1.4990000000000001</v>
      </c>
      <c r="E64" s="1">
        <v>1.5529999999999999</v>
      </c>
      <c r="F64" s="1">
        <v>0.999</v>
      </c>
      <c r="G64" s="1">
        <v>0.51600000000000001</v>
      </c>
      <c r="H64" s="1">
        <v>0.29799999999999999</v>
      </c>
      <c r="I64" s="1">
        <v>0.31</v>
      </c>
      <c r="M64" s="1">
        <v>4.4370000000000003</v>
      </c>
      <c r="N64" s="1">
        <f t="shared" si="0"/>
        <v>1.0429999999999999</v>
      </c>
    </row>
    <row r="65" spans="1:14" x14ac:dyDescent="0.3">
      <c r="A65" t="s">
        <v>69</v>
      </c>
      <c r="B65">
        <v>2019</v>
      </c>
      <c r="C65" s="1">
        <v>7.1390000000000002</v>
      </c>
      <c r="D65" s="1">
        <v>1.276</v>
      </c>
      <c r="E65" s="1">
        <v>1.4550000000000001</v>
      </c>
      <c r="F65" s="1">
        <v>1.0289999999999999</v>
      </c>
      <c r="G65" s="1">
        <v>0.371</v>
      </c>
      <c r="H65" s="1">
        <v>0.26100000000000001</v>
      </c>
      <c r="I65" s="1">
        <v>8.2000000000000003E-2</v>
      </c>
      <c r="M65" s="1">
        <v>7.0209999999999999</v>
      </c>
      <c r="N65" s="1">
        <f t="shared" si="0"/>
        <v>1.4990000000000001</v>
      </c>
    </row>
    <row r="66" spans="1:14" x14ac:dyDescent="0.3">
      <c r="A66" t="s">
        <v>70</v>
      </c>
      <c r="B66">
        <v>2019</v>
      </c>
      <c r="C66" s="1">
        <v>6.2229999999999999</v>
      </c>
      <c r="D66" s="1">
        <v>1.294</v>
      </c>
      <c r="E66" s="1">
        <v>1.488</v>
      </c>
      <c r="F66" s="1">
        <v>1.0389999999999999</v>
      </c>
      <c r="G66" s="1">
        <v>0.23100000000000001</v>
      </c>
      <c r="H66" s="1">
        <v>0.158</v>
      </c>
      <c r="I66" s="1">
        <v>0.03</v>
      </c>
      <c r="M66" s="1">
        <v>7.1390000000000002</v>
      </c>
      <c r="N66" s="1">
        <f t="shared" si="0"/>
        <v>1.276</v>
      </c>
    </row>
    <row r="67" spans="1:14" x14ac:dyDescent="0.3">
      <c r="A67" t="s">
        <v>71</v>
      </c>
      <c r="B67">
        <v>2019</v>
      </c>
      <c r="C67" s="1">
        <v>4.944</v>
      </c>
      <c r="D67" s="1">
        <v>0.56899999999999995</v>
      </c>
      <c r="E67" s="1">
        <v>0.80800000000000005</v>
      </c>
      <c r="F67" s="1">
        <v>0.23200000000000001</v>
      </c>
      <c r="G67" s="1">
        <v>0.35199999999999998</v>
      </c>
      <c r="H67" s="1">
        <v>0.154</v>
      </c>
      <c r="I67" s="1">
        <v>0.09</v>
      </c>
      <c r="M67" s="1">
        <v>6.2229999999999999</v>
      </c>
      <c r="N67" s="1">
        <f t="shared" si="0"/>
        <v>1.294</v>
      </c>
    </row>
    <row r="68" spans="1:14" x14ac:dyDescent="0.3">
      <c r="A68" t="s">
        <v>72</v>
      </c>
      <c r="B68">
        <v>2019</v>
      </c>
      <c r="C68" s="1">
        <v>5.89</v>
      </c>
      <c r="D68" s="1">
        <v>0.83099999999999996</v>
      </c>
      <c r="E68" s="1">
        <v>1.478</v>
      </c>
      <c r="F68" s="1">
        <v>0.83099999999999996</v>
      </c>
      <c r="G68" s="1">
        <v>0.49</v>
      </c>
      <c r="H68" s="1">
        <v>0.107</v>
      </c>
      <c r="I68" s="1">
        <v>2.8000000000000001E-2</v>
      </c>
      <c r="M68" s="1">
        <v>4.944</v>
      </c>
      <c r="N68" s="1">
        <f t="shared" ref="N68:N131" si="8">INDEX(C67:I222,MATCH(M68,C67:C222,0),MATCH(N67,C66:I66,0))</f>
        <v>0.56899999999999995</v>
      </c>
    </row>
    <row r="69" spans="1:14" x14ac:dyDescent="0.3">
      <c r="A69" t="s">
        <v>73</v>
      </c>
      <c r="B69">
        <v>2019</v>
      </c>
      <c r="C69" s="1">
        <v>5.8860000000000001</v>
      </c>
      <c r="D69" s="1">
        <v>1.327</v>
      </c>
      <c r="E69" s="1">
        <v>1.419</v>
      </c>
      <c r="F69" s="1">
        <v>1.0880000000000001</v>
      </c>
      <c r="G69" s="1">
        <v>0.44500000000000001</v>
      </c>
      <c r="H69" s="1">
        <v>6.9000000000000006E-2</v>
      </c>
      <c r="I69" s="1">
        <v>0.14000000000000001</v>
      </c>
      <c r="M69" s="1">
        <v>5.89</v>
      </c>
      <c r="N69" s="1">
        <f t="shared" si="8"/>
        <v>0.83099999999999996</v>
      </c>
    </row>
    <row r="70" spans="1:14" x14ac:dyDescent="0.3">
      <c r="A70" t="s">
        <v>74</v>
      </c>
      <c r="B70">
        <v>2019</v>
      </c>
      <c r="C70" s="1">
        <v>4.9059999999999997</v>
      </c>
      <c r="D70" s="1">
        <v>0.83699999999999997</v>
      </c>
      <c r="E70" s="1">
        <v>1.2250000000000001</v>
      </c>
      <c r="F70" s="1">
        <v>0.81499999999999995</v>
      </c>
      <c r="G70" s="1">
        <v>0.38300000000000001</v>
      </c>
      <c r="H70" s="1">
        <v>0.11</v>
      </c>
      <c r="I70" s="1">
        <v>0.13</v>
      </c>
      <c r="M70" s="1">
        <v>5.8860000000000001</v>
      </c>
      <c r="N70" s="1">
        <f t="shared" si="8"/>
        <v>1.327</v>
      </c>
    </row>
    <row r="71" spans="1:14" x14ac:dyDescent="0.3">
      <c r="A71" t="s">
        <v>75</v>
      </c>
      <c r="B71">
        <v>2019</v>
      </c>
      <c r="C71" s="1">
        <v>5.8090000000000002</v>
      </c>
      <c r="D71" s="1">
        <v>1.173</v>
      </c>
      <c r="E71" s="1">
        <v>1.508</v>
      </c>
      <c r="F71" s="1">
        <v>0.72899999999999998</v>
      </c>
      <c r="G71" s="1">
        <v>0.41</v>
      </c>
      <c r="H71" s="1">
        <v>0.14599999999999999</v>
      </c>
      <c r="I71" s="1">
        <v>9.6000000000000002E-2</v>
      </c>
      <c r="M71" s="1">
        <v>4.9059999999999997</v>
      </c>
      <c r="N71" s="1">
        <f t="shared" si="8"/>
        <v>0.83699999999999997</v>
      </c>
    </row>
    <row r="72" spans="1:14" x14ac:dyDescent="0.3">
      <c r="A72" t="s">
        <v>76</v>
      </c>
      <c r="B72">
        <v>2019</v>
      </c>
      <c r="C72" s="1">
        <v>4.5090000000000003</v>
      </c>
      <c r="D72" s="1">
        <v>0.51200000000000001</v>
      </c>
      <c r="E72" s="1">
        <v>0.98299999999999998</v>
      </c>
      <c r="F72" s="1">
        <v>0.58099999999999996</v>
      </c>
      <c r="G72" s="1">
        <v>0.43099999999999999</v>
      </c>
      <c r="H72" s="1">
        <v>0.372</v>
      </c>
      <c r="I72" s="1">
        <v>5.2999999999999999E-2</v>
      </c>
      <c r="M72" s="1">
        <v>5.8090000000000002</v>
      </c>
      <c r="N72" s="1">
        <f t="shared" si="8"/>
        <v>1.173</v>
      </c>
    </row>
    <row r="73" spans="1:14" x14ac:dyDescent="0.3">
      <c r="A73" t="s">
        <v>77</v>
      </c>
      <c r="B73">
        <v>2019</v>
      </c>
      <c r="C73" s="1">
        <v>6.1</v>
      </c>
      <c r="D73" s="1">
        <v>0.88200000000000001</v>
      </c>
      <c r="E73" s="1">
        <v>1.232</v>
      </c>
      <c r="F73" s="1">
        <v>0.75800000000000001</v>
      </c>
      <c r="G73" s="1">
        <v>0.48899999999999999</v>
      </c>
      <c r="H73" s="1">
        <v>0.26200000000000001</v>
      </c>
      <c r="I73" s="1">
        <v>6.0000000000000001E-3</v>
      </c>
      <c r="M73" s="1">
        <v>4.5090000000000003</v>
      </c>
      <c r="N73" s="1">
        <f t="shared" si="8"/>
        <v>0.51200000000000001</v>
      </c>
    </row>
    <row r="74" spans="1:14" x14ac:dyDescent="0.3">
      <c r="A74" t="s">
        <v>78</v>
      </c>
      <c r="B74">
        <v>2019</v>
      </c>
      <c r="C74" s="1">
        <v>6.0209999999999999</v>
      </c>
      <c r="D74" s="1">
        <v>1.5</v>
      </c>
      <c r="E74" s="1">
        <v>1.319</v>
      </c>
      <c r="F74" s="1">
        <v>0.80800000000000005</v>
      </c>
      <c r="G74" s="1">
        <v>0.49299999999999999</v>
      </c>
      <c r="H74" s="1">
        <v>0.14199999999999999</v>
      </c>
      <c r="I74" s="1">
        <v>9.7000000000000003E-2</v>
      </c>
      <c r="M74" s="1">
        <v>6.1</v>
      </c>
      <c r="N74" s="1">
        <f t="shared" si="8"/>
        <v>0.88200000000000001</v>
      </c>
    </row>
    <row r="75" spans="1:14" x14ac:dyDescent="0.3">
      <c r="A75" t="s">
        <v>79</v>
      </c>
      <c r="B75">
        <v>2019</v>
      </c>
      <c r="C75" s="1">
        <v>5.2610000000000001</v>
      </c>
      <c r="D75" s="1">
        <v>0.55100000000000005</v>
      </c>
      <c r="E75" s="1">
        <v>1.4379999999999999</v>
      </c>
      <c r="F75" s="1">
        <v>0.72299999999999998</v>
      </c>
      <c r="G75" s="1">
        <v>0.50800000000000001</v>
      </c>
      <c r="H75" s="1">
        <v>0.3</v>
      </c>
      <c r="I75" s="1">
        <v>2.3E-2</v>
      </c>
      <c r="M75" s="1">
        <v>6.0209999999999999</v>
      </c>
      <c r="N75" s="1">
        <f t="shared" si="8"/>
        <v>1.5</v>
      </c>
    </row>
    <row r="76" spans="1:14" x14ac:dyDescent="0.3">
      <c r="A76" t="s">
        <v>80</v>
      </c>
      <c r="B76">
        <v>2019</v>
      </c>
      <c r="C76" s="1">
        <v>4.7960000000000003</v>
      </c>
      <c r="D76" s="1">
        <v>0.76400000000000001</v>
      </c>
      <c r="E76" s="1">
        <v>1.03</v>
      </c>
      <c r="F76" s="1">
        <v>0.55100000000000005</v>
      </c>
      <c r="G76" s="1">
        <v>0.54700000000000004</v>
      </c>
      <c r="H76" s="1">
        <v>0.26600000000000001</v>
      </c>
      <c r="I76" s="1">
        <v>0.16400000000000001</v>
      </c>
      <c r="M76" s="1">
        <v>5.2610000000000001</v>
      </c>
      <c r="N76" s="1">
        <f t="shared" si="8"/>
        <v>0.55100000000000005</v>
      </c>
    </row>
    <row r="77" spans="1:14" x14ac:dyDescent="0.3">
      <c r="A77" t="s">
        <v>81</v>
      </c>
      <c r="B77">
        <v>2019</v>
      </c>
      <c r="C77" s="1">
        <v>5.94</v>
      </c>
      <c r="D77" s="1">
        <v>1.1870000000000001</v>
      </c>
      <c r="E77" s="1">
        <v>1.4650000000000001</v>
      </c>
      <c r="F77" s="1">
        <v>0.81200000000000006</v>
      </c>
      <c r="G77" s="1">
        <v>0.26400000000000001</v>
      </c>
      <c r="H77" s="1">
        <v>7.4999999999999997E-2</v>
      </c>
      <c r="I77" s="1">
        <v>6.4000000000000001E-2</v>
      </c>
      <c r="M77" s="1">
        <v>4.7960000000000003</v>
      </c>
      <c r="N77" s="1">
        <f t="shared" si="8"/>
        <v>0.76400000000000001</v>
      </c>
    </row>
    <row r="78" spans="1:14" x14ac:dyDescent="0.3">
      <c r="A78" t="s">
        <v>82</v>
      </c>
      <c r="B78">
        <v>2019</v>
      </c>
      <c r="C78" s="1">
        <v>5.1970000000000001</v>
      </c>
      <c r="D78" s="1">
        <v>0.98699999999999999</v>
      </c>
      <c r="E78" s="1">
        <v>1.224</v>
      </c>
      <c r="F78" s="1">
        <v>0.81499999999999995</v>
      </c>
      <c r="G78" s="1">
        <v>0.216</v>
      </c>
      <c r="H78" s="1">
        <v>0.16600000000000001</v>
      </c>
      <c r="I78" s="1">
        <v>2.7E-2</v>
      </c>
      <c r="M78" s="1">
        <v>5.94</v>
      </c>
      <c r="N78" s="1">
        <f t="shared" si="8"/>
        <v>1.1870000000000001</v>
      </c>
    </row>
    <row r="79" spans="1:14" x14ac:dyDescent="0.3">
      <c r="A79" t="s">
        <v>83</v>
      </c>
      <c r="B79">
        <v>2019</v>
      </c>
      <c r="C79" s="1">
        <v>3.802</v>
      </c>
      <c r="D79" s="1">
        <v>0.48899999999999999</v>
      </c>
      <c r="E79" s="1">
        <v>1.169</v>
      </c>
      <c r="F79" s="1">
        <v>0.16800000000000001</v>
      </c>
      <c r="G79" s="1">
        <v>0.35899999999999999</v>
      </c>
      <c r="H79" s="1">
        <v>0.107</v>
      </c>
      <c r="I79" s="1">
        <v>9.2999999999999999E-2</v>
      </c>
      <c r="M79" s="1">
        <v>5.1970000000000001</v>
      </c>
      <c r="N79" s="1">
        <f t="shared" si="8"/>
        <v>0.98699999999999999</v>
      </c>
    </row>
    <row r="80" spans="1:14" x14ac:dyDescent="0.3">
      <c r="A80" t="s">
        <v>84</v>
      </c>
      <c r="B80">
        <v>2019</v>
      </c>
      <c r="C80" s="1">
        <v>3.9750000000000001</v>
      </c>
      <c r="D80" s="1">
        <v>7.2999999999999995E-2</v>
      </c>
      <c r="E80" s="1">
        <v>0.92200000000000004</v>
      </c>
      <c r="F80" s="1">
        <v>0.443</v>
      </c>
      <c r="G80" s="1">
        <v>0.37</v>
      </c>
      <c r="H80" s="1">
        <v>0.23300000000000001</v>
      </c>
      <c r="I80" s="1">
        <v>3.3000000000000002E-2</v>
      </c>
      <c r="M80" s="1">
        <v>3.802</v>
      </c>
      <c r="N80" s="1">
        <f t="shared" si="8"/>
        <v>0.48899999999999999</v>
      </c>
    </row>
    <row r="81" spans="1:14" x14ac:dyDescent="0.3">
      <c r="A81" t="s">
        <v>85</v>
      </c>
      <c r="B81">
        <v>2019</v>
      </c>
      <c r="C81" s="1">
        <v>5.5250000000000004</v>
      </c>
      <c r="D81" s="1">
        <v>1.044</v>
      </c>
      <c r="E81" s="1">
        <v>1.3029999999999999</v>
      </c>
      <c r="F81" s="1">
        <v>0.67300000000000004</v>
      </c>
      <c r="G81" s="1">
        <v>0.41599999999999998</v>
      </c>
      <c r="H81" s="1">
        <v>0.13300000000000001</v>
      </c>
      <c r="I81" s="1">
        <v>0.152</v>
      </c>
      <c r="M81" s="1">
        <v>3.9750000000000001</v>
      </c>
      <c r="N81" s="1">
        <f t="shared" si="8"/>
        <v>7.2999999999999995E-2</v>
      </c>
    </row>
    <row r="82" spans="1:14" x14ac:dyDescent="0.3">
      <c r="A82" t="s">
        <v>86</v>
      </c>
      <c r="B82">
        <v>2019</v>
      </c>
      <c r="C82" s="1">
        <v>6.149</v>
      </c>
      <c r="D82" s="1">
        <v>1.238</v>
      </c>
      <c r="E82" s="1">
        <v>1.5149999999999999</v>
      </c>
      <c r="F82" s="1">
        <v>0.81799999999999995</v>
      </c>
      <c r="G82" s="1">
        <v>0.29099999999999998</v>
      </c>
      <c r="H82" s="1">
        <v>4.2999999999999997E-2</v>
      </c>
      <c r="I82" s="1">
        <v>4.2000000000000003E-2</v>
      </c>
      <c r="M82" s="1">
        <v>5.5250000000000004</v>
      </c>
      <c r="N82" s="1">
        <f t="shared" si="8"/>
        <v>1.044</v>
      </c>
    </row>
    <row r="83" spans="1:14" x14ac:dyDescent="0.3">
      <c r="A83" t="s">
        <v>87</v>
      </c>
      <c r="B83">
        <v>2019</v>
      </c>
      <c r="C83" s="1">
        <v>7.09</v>
      </c>
      <c r="D83" s="1">
        <v>1.609</v>
      </c>
      <c r="E83" s="1">
        <v>1.4790000000000001</v>
      </c>
      <c r="F83" s="1">
        <v>1.012</v>
      </c>
      <c r="G83" s="1">
        <v>0.52600000000000002</v>
      </c>
      <c r="H83" s="1">
        <v>0.19400000000000001</v>
      </c>
      <c r="I83" s="1">
        <v>0.316</v>
      </c>
      <c r="M83" s="1">
        <v>6.149</v>
      </c>
      <c r="N83" s="1">
        <f t="shared" si="8"/>
        <v>1.238</v>
      </c>
    </row>
    <row r="84" spans="1:14" x14ac:dyDescent="0.3">
      <c r="A84" t="s">
        <v>88</v>
      </c>
      <c r="B84">
        <v>2019</v>
      </c>
      <c r="C84" s="1">
        <v>3.9329999999999998</v>
      </c>
      <c r="D84" s="1">
        <v>0.27400000000000002</v>
      </c>
      <c r="E84" s="1">
        <v>0.91600000000000004</v>
      </c>
      <c r="F84" s="1">
        <v>0.55500000000000005</v>
      </c>
      <c r="G84" s="1">
        <v>0.14799999999999999</v>
      </c>
      <c r="H84" s="1">
        <v>0.16900000000000001</v>
      </c>
      <c r="I84" s="1">
        <v>4.1000000000000002E-2</v>
      </c>
      <c r="M84" s="1">
        <v>7.09</v>
      </c>
      <c r="N84" s="1">
        <f t="shared" si="8"/>
        <v>1.609</v>
      </c>
    </row>
    <row r="85" spans="1:14" x14ac:dyDescent="0.3">
      <c r="A85" t="s">
        <v>89</v>
      </c>
      <c r="B85">
        <v>2019</v>
      </c>
      <c r="C85" s="1">
        <v>3.41</v>
      </c>
      <c r="D85" s="1">
        <v>0.191</v>
      </c>
      <c r="E85" s="1">
        <v>0.56000000000000005</v>
      </c>
      <c r="F85" s="1">
        <v>0.495</v>
      </c>
      <c r="G85" s="1">
        <v>0.443</v>
      </c>
      <c r="H85" s="1">
        <v>0.218</v>
      </c>
      <c r="I85" s="1">
        <v>8.8999999999999996E-2</v>
      </c>
      <c r="M85" s="1">
        <v>3.9329999999999998</v>
      </c>
      <c r="N85" s="1">
        <f t="shared" si="8"/>
        <v>0.27400000000000002</v>
      </c>
    </row>
    <row r="86" spans="1:14" x14ac:dyDescent="0.3">
      <c r="A86" t="s">
        <v>90</v>
      </c>
      <c r="B86">
        <v>2019</v>
      </c>
      <c r="C86" s="1">
        <v>5.3390000000000004</v>
      </c>
      <c r="D86" s="1">
        <v>1.2210000000000001</v>
      </c>
      <c r="E86" s="1">
        <v>1.171</v>
      </c>
      <c r="F86" s="1">
        <v>0.82799999999999996</v>
      </c>
      <c r="G86" s="1">
        <v>0.50800000000000001</v>
      </c>
      <c r="H86" s="1">
        <v>0.26</v>
      </c>
      <c r="I86" s="1">
        <v>2.4E-2</v>
      </c>
      <c r="M86" s="1">
        <v>3.41</v>
      </c>
      <c r="N86" s="1">
        <f t="shared" si="8"/>
        <v>0.191</v>
      </c>
    </row>
    <row r="87" spans="1:14" x14ac:dyDescent="0.3">
      <c r="A87" t="s">
        <v>91</v>
      </c>
      <c r="B87">
        <v>2019</v>
      </c>
      <c r="C87" s="1">
        <v>4.3899999999999997</v>
      </c>
      <c r="D87" s="1">
        <v>0.38500000000000001</v>
      </c>
      <c r="E87" s="1">
        <v>1.105</v>
      </c>
      <c r="F87" s="1">
        <v>0.308</v>
      </c>
      <c r="G87" s="1">
        <v>0.32700000000000001</v>
      </c>
      <c r="H87" s="1">
        <v>0.153</v>
      </c>
      <c r="I87" s="1">
        <v>5.1999999999999998E-2</v>
      </c>
      <c r="M87" s="1">
        <v>5.3390000000000004</v>
      </c>
      <c r="N87" s="1">
        <f t="shared" si="8"/>
        <v>1.2210000000000001</v>
      </c>
    </row>
    <row r="88" spans="1:14" x14ac:dyDescent="0.3">
      <c r="A88" t="s">
        <v>92</v>
      </c>
      <c r="B88">
        <v>2019</v>
      </c>
      <c r="C88" s="1">
        <v>6.726</v>
      </c>
      <c r="D88" s="1">
        <v>1.3</v>
      </c>
      <c r="E88" s="1">
        <v>1.52</v>
      </c>
      <c r="F88" s="1">
        <v>0.999</v>
      </c>
      <c r="G88" s="1">
        <v>0.56399999999999995</v>
      </c>
      <c r="H88" s="1">
        <v>0.375</v>
      </c>
      <c r="I88" s="1">
        <v>0.151</v>
      </c>
      <c r="M88" s="1">
        <v>4.3899999999999997</v>
      </c>
      <c r="N88" s="1">
        <f t="shared" si="8"/>
        <v>0.38500000000000001</v>
      </c>
    </row>
    <row r="89" spans="1:14" x14ac:dyDescent="0.3">
      <c r="A89" t="s">
        <v>93</v>
      </c>
      <c r="B89">
        <v>2019</v>
      </c>
      <c r="C89" s="1">
        <v>4.49</v>
      </c>
      <c r="D89" s="1">
        <v>0.56999999999999995</v>
      </c>
      <c r="E89" s="1">
        <v>1.167</v>
      </c>
      <c r="F89" s="1">
        <v>0.48899999999999999</v>
      </c>
      <c r="G89" s="1">
        <v>6.6000000000000003E-2</v>
      </c>
      <c r="H89" s="1">
        <v>0.106</v>
      </c>
      <c r="I89" s="1">
        <v>8.7999999999999995E-2</v>
      </c>
      <c r="M89" s="1">
        <v>6.726</v>
      </c>
      <c r="N89" s="1">
        <f t="shared" si="8"/>
        <v>1.3</v>
      </c>
    </row>
    <row r="90" spans="1:14" x14ac:dyDescent="0.3">
      <c r="A90" t="s">
        <v>94</v>
      </c>
      <c r="B90">
        <v>2019</v>
      </c>
      <c r="C90" s="1">
        <v>5.8879999999999999</v>
      </c>
      <c r="D90" s="1">
        <v>1.1200000000000001</v>
      </c>
      <c r="E90" s="1">
        <v>1.4019999999999999</v>
      </c>
      <c r="F90" s="1">
        <v>0.79800000000000004</v>
      </c>
      <c r="G90" s="1">
        <v>0.498</v>
      </c>
      <c r="H90" s="1">
        <v>0.215</v>
      </c>
      <c r="I90" s="1">
        <v>0.06</v>
      </c>
      <c r="M90" s="1">
        <v>4.49</v>
      </c>
      <c r="N90" s="1">
        <f t="shared" si="8"/>
        <v>0.56999999999999995</v>
      </c>
    </row>
    <row r="91" spans="1:14" x14ac:dyDescent="0.3">
      <c r="A91" t="s">
        <v>95</v>
      </c>
      <c r="B91">
        <v>2019</v>
      </c>
      <c r="C91" s="1">
        <v>6.5949999999999998</v>
      </c>
      <c r="D91" s="1">
        <v>1.07</v>
      </c>
      <c r="E91" s="1">
        <v>1.323</v>
      </c>
      <c r="F91" s="1">
        <v>0.86099999999999999</v>
      </c>
      <c r="G91" s="1">
        <v>0.433</v>
      </c>
      <c r="H91" s="1">
        <v>7.3999999999999996E-2</v>
      </c>
      <c r="I91" s="1">
        <v>7.2999999999999995E-2</v>
      </c>
      <c r="M91" s="1">
        <v>5.8879999999999999</v>
      </c>
      <c r="N91" s="1">
        <f t="shared" si="8"/>
        <v>1.1200000000000001</v>
      </c>
    </row>
    <row r="92" spans="1:14" x14ac:dyDescent="0.3">
      <c r="A92" t="s">
        <v>96</v>
      </c>
      <c r="B92">
        <v>2019</v>
      </c>
      <c r="C92" s="1">
        <v>5.5289999999999999</v>
      </c>
      <c r="D92" s="1">
        <v>0.68500000000000005</v>
      </c>
      <c r="E92" s="1">
        <v>1.3280000000000001</v>
      </c>
      <c r="F92" s="1">
        <v>0.73899999999999999</v>
      </c>
      <c r="G92" s="1">
        <v>0.245</v>
      </c>
      <c r="H92" s="1">
        <v>0.18099999999999999</v>
      </c>
      <c r="I92" s="1">
        <v>0</v>
      </c>
      <c r="M92" s="1">
        <v>6.5949999999999998</v>
      </c>
      <c r="N92" s="1">
        <f t="shared" si="8"/>
        <v>1.07</v>
      </c>
    </row>
    <row r="93" spans="1:14" x14ac:dyDescent="0.3">
      <c r="A93" t="s">
        <v>97</v>
      </c>
      <c r="B93">
        <v>2019</v>
      </c>
      <c r="C93" s="1">
        <v>5.2850000000000001</v>
      </c>
      <c r="D93" s="1">
        <v>0.94799999999999995</v>
      </c>
      <c r="E93" s="1">
        <v>1.5309999999999999</v>
      </c>
      <c r="F93" s="1">
        <v>0.66700000000000004</v>
      </c>
      <c r="G93" s="1">
        <v>0.317</v>
      </c>
      <c r="H93" s="1">
        <v>0.23499999999999999</v>
      </c>
      <c r="I93" s="1">
        <v>3.7999999999999999E-2</v>
      </c>
      <c r="M93" s="1">
        <v>5.5289999999999999</v>
      </c>
      <c r="N93" s="1">
        <f t="shared" si="8"/>
        <v>0.68500000000000005</v>
      </c>
    </row>
    <row r="94" spans="1:14" x14ac:dyDescent="0.3">
      <c r="A94" t="s">
        <v>98</v>
      </c>
      <c r="B94">
        <v>2019</v>
      </c>
      <c r="C94" s="1">
        <v>5.5229999999999997</v>
      </c>
      <c r="D94" s="1">
        <v>1.0509999999999999</v>
      </c>
      <c r="E94" s="1">
        <v>1.361</v>
      </c>
      <c r="F94" s="1">
        <v>0.871</v>
      </c>
      <c r="G94" s="1">
        <v>0.19700000000000001</v>
      </c>
      <c r="H94" s="1">
        <v>0.14199999999999999</v>
      </c>
      <c r="I94" s="1">
        <v>0.08</v>
      </c>
      <c r="M94" s="1">
        <v>5.2850000000000001</v>
      </c>
      <c r="N94" s="1">
        <f t="shared" si="8"/>
        <v>0.94799999999999995</v>
      </c>
    </row>
    <row r="95" spans="1:14" x14ac:dyDescent="0.3">
      <c r="A95" t="s">
        <v>99</v>
      </c>
      <c r="B95">
        <v>2019</v>
      </c>
      <c r="C95" s="1">
        <v>5.2080000000000002</v>
      </c>
      <c r="D95" s="1">
        <v>0.80100000000000005</v>
      </c>
      <c r="E95" s="1">
        <v>0.78200000000000003</v>
      </c>
      <c r="F95" s="1">
        <v>0.78200000000000003</v>
      </c>
      <c r="G95" s="1">
        <v>0.41799999999999998</v>
      </c>
      <c r="H95" s="1">
        <v>3.5999999999999997E-2</v>
      </c>
      <c r="I95" s="1">
        <v>7.5999999999999998E-2</v>
      </c>
      <c r="M95" s="1">
        <v>5.5229999999999997</v>
      </c>
      <c r="N95" s="1">
        <f t="shared" si="8"/>
        <v>1.0509999999999999</v>
      </c>
    </row>
    <row r="96" spans="1:14" x14ac:dyDescent="0.3">
      <c r="A96" t="s">
        <v>100</v>
      </c>
      <c r="B96">
        <v>2019</v>
      </c>
      <c r="C96" s="1">
        <v>4.4660000000000002</v>
      </c>
      <c r="D96" s="1">
        <v>0.20399999999999999</v>
      </c>
      <c r="E96" s="1">
        <v>0.98599999999999999</v>
      </c>
      <c r="F96" s="1">
        <v>0.39</v>
      </c>
      <c r="G96" s="1">
        <v>0.49399999999999999</v>
      </c>
      <c r="H96" s="1">
        <v>0.19700000000000001</v>
      </c>
      <c r="I96" s="1">
        <v>0.13800000000000001</v>
      </c>
      <c r="M96" s="1">
        <v>5.2080000000000002</v>
      </c>
      <c r="N96" s="1">
        <f t="shared" si="8"/>
        <v>0.80100000000000005</v>
      </c>
    </row>
    <row r="97" spans="1:14" x14ac:dyDescent="0.3">
      <c r="A97" t="s">
        <v>101</v>
      </c>
      <c r="B97">
        <v>2019</v>
      </c>
      <c r="C97" s="1">
        <v>4.3600000000000003</v>
      </c>
      <c r="D97" s="1">
        <v>0.71</v>
      </c>
      <c r="E97" s="1">
        <v>1.181</v>
      </c>
      <c r="F97" s="1">
        <v>0.55500000000000005</v>
      </c>
      <c r="G97" s="1">
        <v>0.52500000000000002</v>
      </c>
      <c r="H97" s="1">
        <v>0.56599999999999995</v>
      </c>
      <c r="I97" s="1">
        <v>0.17199999999999999</v>
      </c>
      <c r="M97" s="1">
        <v>4.4660000000000002</v>
      </c>
      <c r="N97" s="1">
        <f t="shared" si="8"/>
        <v>0.20399999999999999</v>
      </c>
    </row>
    <row r="98" spans="1:14" x14ac:dyDescent="0.3">
      <c r="A98" t="s">
        <v>102</v>
      </c>
      <c r="B98">
        <v>2019</v>
      </c>
      <c r="C98" s="1">
        <v>4.6390000000000002</v>
      </c>
      <c r="D98" s="1">
        <v>0.879</v>
      </c>
      <c r="E98" s="1">
        <v>1.3129999999999999</v>
      </c>
      <c r="F98" s="1">
        <v>0.47699999999999998</v>
      </c>
      <c r="G98" s="1">
        <v>0.40100000000000002</v>
      </c>
      <c r="H98" s="1">
        <v>7.0000000000000007E-2</v>
      </c>
      <c r="I98" s="1">
        <v>5.6000000000000001E-2</v>
      </c>
      <c r="M98" s="1">
        <v>4.3600000000000003</v>
      </c>
      <c r="N98" s="1">
        <f t="shared" si="8"/>
        <v>0.71</v>
      </c>
    </row>
    <row r="99" spans="1:14" x14ac:dyDescent="0.3">
      <c r="A99" t="s">
        <v>103</v>
      </c>
      <c r="B99">
        <v>2019</v>
      </c>
      <c r="C99" s="1">
        <v>4.9130000000000003</v>
      </c>
      <c r="D99" s="1">
        <v>0.44600000000000001</v>
      </c>
      <c r="E99" s="1">
        <v>1.226</v>
      </c>
      <c r="F99" s="1">
        <v>0.67700000000000005</v>
      </c>
      <c r="G99" s="1">
        <v>0.439</v>
      </c>
      <c r="H99" s="1">
        <v>0.28499999999999998</v>
      </c>
      <c r="I99" s="1">
        <v>8.8999999999999996E-2</v>
      </c>
      <c r="M99" s="1">
        <v>4.6390000000000002</v>
      </c>
      <c r="N99" s="1">
        <f t="shared" si="8"/>
        <v>0.879</v>
      </c>
    </row>
    <row r="100" spans="1:14" x14ac:dyDescent="0.3">
      <c r="A100" t="s">
        <v>104</v>
      </c>
      <c r="B100">
        <v>2019</v>
      </c>
      <c r="C100" s="1">
        <v>7.4880000000000004</v>
      </c>
      <c r="D100" s="1">
        <v>1.3959999999999999</v>
      </c>
      <c r="E100" s="1">
        <v>1.522</v>
      </c>
      <c r="F100" s="1">
        <v>0.999</v>
      </c>
      <c r="G100" s="1">
        <v>0.55700000000000005</v>
      </c>
      <c r="H100" s="1">
        <v>0.32200000000000001</v>
      </c>
      <c r="I100" s="1">
        <v>0.29799999999999999</v>
      </c>
      <c r="M100" s="1">
        <v>4.9130000000000003</v>
      </c>
      <c r="N100" s="1">
        <f t="shared" si="8"/>
        <v>0.44600000000000001</v>
      </c>
    </row>
    <row r="101" spans="1:14" x14ac:dyDescent="0.3">
      <c r="A101" t="s">
        <v>105</v>
      </c>
      <c r="B101">
        <v>2019</v>
      </c>
      <c r="C101" s="1">
        <v>7.3070000000000004</v>
      </c>
      <c r="D101" s="1">
        <v>1.3029999999999999</v>
      </c>
      <c r="E101" s="1">
        <v>1.5569999999999999</v>
      </c>
      <c r="F101" s="1">
        <v>1.026</v>
      </c>
      <c r="G101" s="1">
        <v>0.58499999999999996</v>
      </c>
      <c r="H101" s="1">
        <v>0.33</v>
      </c>
      <c r="I101" s="1">
        <v>0.38</v>
      </c>
      <c r="M101" s="1">
        <v>7.4880000000000004</v>
      </c>
      <c r="N101" s="1">
        <f t="shared" si="8"/>
        <v>1.3959999999999999</v>
      </c>
    </row>
    <row r="102" spans="1:14" x14ac:dyDescent="0.3">
      <c r="A102" t="s">
        <v>106</v>
      </c>
      <c r="B102">
        <v>2019</v>
      </c>
      <c r="C102" s="1">
        <v>6.1050000000000004</v>
      </c>
      <c r="D102" s="1">
        <v>0.69399999999999995</v>
      </c>
      <c r="E102" s="1">
        <v>1.325</v>
      </c>
      <c r="F102" s="1">
        <v>0.83499999999999996</v>
      </c>
      <c r="G102" s="1">
        <v>0.435</v>
      </c>
      <c r="H102" s="1">
        <v>0.2</v>
      </c>
      <c r="I102" s="1">
        <v>0.127</v>
      </c>
      <c r="M102" s="1">
        <v>7.3070000000000004</v>
      </c>
      <c r="N102" s="1">
        <f t="shared" si="8"/>
        <v>1.3029999999999999</v>
      </c>
    </row>
    <row r="103" spans="1:14" x14ac:dyDescent="0.3">
      <c r="A103" t="s">
        <v>107</v>
      </c>
      <c r="B103">
        <v>2019</v>
      </c>
      <c r="C103" s="1">
        <v>4.6280000000000001</v>
      </c>
      <c r="D103" s="1">
        <v>0.13800000000000001</v>
      </c>
      <c r="E103" s="1">
        <v>0.77400000000000002</v>
      </c>
      <c r="F103" s="1">
        <v>0.36599999999999999</v>
      </c>
      <c r="G103" s="1">
        <v>0.318</v>
      </c>
      <c r="H103" s="1">
        <v>0.188</v>
      </c>
      <c r="I103" s="1">
        <v>0.10199999999999999</v>
      </c>
      <c r="M103" s="1">
        <v>6.1050000000000004</v>
      </c>
      <c r="N103" s="1">
        <f t="shared" si="8"/>
        <v>0.69399999999999995</v>
      </c>
    </row>
    <row r="104" spans="1:14" x14ac:dyDescent="0.3">
      <c r="A104" t="s">
        <v>108</v>
      </c>
      <c r="B104">
        <v>2019</v>
      </c>
      <c r="C104" s="1">
        <v>5.2649999999999997</v>
      </c>
      <c r="D104" s="1">
        <v>0.69599999999999995</v>
      </c>
      <c r="E104" s="1">
        <v>1.111</v>
      </c>
      <c r="F104" s="1">
        <v>0.245</v>
      </c>
      <c r="G104" s="1">
        <v>0.42599999999999999</v>
      </c>
      <c r="H104" s="1">
        <v>0.215</v>
      </c>
      <c r="I104" s="1">
        <v>4.1000000000000002E-2</v>
      </c>
      <c r="M104" s="1">
        <v>4.6280000000000001</v>
      </c>
      <c r="N104" s="1">
        <f t="shared" si="8"/>
        <v>0.13800000000000001</v>
      </c>
    </row>
    <row r="105" spans="1:14" x14ac:dyDescent="0.3">
      <c r="A105" t="s">
        <v>109</v>
      </c>
      <c r="B105">
        <v>2019</v>
      </c>
      <c r="C105" s="1">
        <v>5.274</v>
      </c>
      <c r="D105" s="1">
        <v>0.98299999999999998</v>
      </c>
      <c r="E105" s="1">
        <v>1.294</v>
      </c>
      <c r="F105" s="1">
        <v>0.83799999999999997</v>
      </c>
      <c r="G105" s="1">
        <v>0.34499999999999997</v>
      </c>
      <c r="H105" s="1">
        <v>0.185</v>
      </c>
      <c r="I105" s="1">
        <v>3.4000000000000002E-2</v>
      </c>
      <c r="M105" s="1">
        <v>5.2649999999999997</v>
      </c>
      <c r="N105" s="1">
        <f t="shared" si="8"/>
        <v>0.69599999999999995</v>
      </c>
    </row>
    <row r="106" spans="1:14" x14ac:dyDescent="0.3">
      <c r="A106" t="s">
        <v>110</v>
      </c>
      <c r="B106">
        <v>2019</v>
      </c>
      <c r="C106" s="1">
        <v>5.718</v>
      </c>
      <c r="D106" s="1">
        <v>1.2629999999999999</v>
      </c>
      <c r="E106" s="1">
        <v>1.252</v>
      </c>
      <c r="F106" s="1">
        <v>1.042</v>
      </c>
      <c r="G106" s="1">
        <v>0.41699999999999998</v>
      </c>
      <c r="H106" s="1">
        <v>0.191</v>
      </c>
      <c r="I106" s="1">
        <v>0.16200000000000001</v>
      </c>
      <c r="M106" s="1">
        <v>5.274</v>
      </c>
      <c r="N106" s="1">
        <f t="shared" si="8"/>
        <v>0.98299999999999998</v>
      </c>
    </row>
    <row r="107" spans="1:14" x14ac:dyDescent="0.3">
      <c r="A107" t="s">
        <v>111</v>
      </c>
      <c r="B107">
        <v>2019</v>
      </c>
      <c r="C107" s="1">
        <v>7.5540000000000003</v>
      </c>
      <c r="D107" s="1">
        <v>1.488</v>
      </c>
      <c r="E107" s="1">
        <v>1.5820000000000001</v>
      </c>
      <c r="F107" s="1">
        <v>1.028</v>
      </c>
      <c r="G107" s="1">
        <v>0.60299999999999998</v>
      </c>
      <c r="H107" s="1">
        <v>0.27100000000000002</v>
      </c>
      <c r="I107" s="1">
        <v>0.34100000000000003</v>
      </c>
      <c r="M107" s="1">
        <v>5.718</v>
      </c>
      <c r="N107" s="1">
        <f t="shared" si="8"/>
        <v>1.2629999999999999</v>
      </c>
    </row>
    <row r="108" spans="1:14" x14ac:dyDescent="0.3">
      <c r="A108" t="s">
        <v>112</v>
      </c>
      <c r="B108">
        <v>2019</v>
      </c>
      <c r="C108" s="1">
        <v>5.6529999999999996</v>
      </c>
      <c r="D108" s="1">
        <v>0.67700000000000005</v>
      </c>
      <c r="E108" s="1">
        <v>0.88600000000000001</v>
      </c>
      <c r="F108" s="1">
        <v>0.53500000000000003</v>
      </c>
      <c r="G108" s="1">
        <v>0.313</v>
      </c>
      <c r="H108" s="1">
        <v>0.22</v>
      </c>
      <c r="I108" s="1">
        <v>9.8000000000000004E-2</v>
      </c>
      <c r="M108" s="1">
        <v>7.5540000000000003</v>
      </c>
      <c r="N108" s="1">
        <f t="shared" si="8"/>
        <v>1.488</v>
      </c>
    </row>
    <row r="109" spans="1:14" x14ac:dyDescent="0.3">
      <c r="A109" t="s">
        <v>113</v>
      </c>
      <c r="B109">
        <v>2019</v>
      </c>
      <c r="C109" s="1">
        <v>4.6959999999999997</v>
      </c>
      <c r="D109" s="1">
        <v>0.65700000000000003</v>
      </c>
      <c r="E109" s="1">
        <v>1.2470000000000001</v>
      </c>
      <c r="F109" s="1">
        <v>0.67200000000000004</v>
      </c>
      <c r="G109" s="1">
        <v>0.22500000000000001</v>
      </c>
      <c r="H109" s="1">
        <v>0.10299999999999999</v>
      </c>
      <c r="I109" s="1">
        <v>6.6000000000000003E-2</v>
      </c>
      <c r="M109" s="1">
        <v>5.6529999999999996</v>
      </c>
      <c r="N109" s="1">
        <f t="shared" si="8"/>
        <v>0.67700000000000005</v>
      </c>
    </row>
    <row r="110" spans="1:14" x14ac:dyDescent="0.3">
      <c r="A110" t="s">
        <v>114</v>
      </c>
      <c r="B110">
        <v>2019</v>
      </c>
      <c r="C110" s="1">
        <v>6.3209999999999997</v>
      </c>
      <c r="D110" s="1">
        <v>1.149</v>
      </c>
      <c r="E110" s="1">
        <v>1.4419999999999999</v>
      </c>
      <c r="F110" s="1">
        <v>0.91</v>
      </c>
      <c r="G110" s="1">
        <v>0.51600000000000001</v>
      </c>
      <c r="H110" s="1">
        <v>0.109</v>
      </c>
      <c r="I110" s="1">
        <v>5.3999999999999999E-2</v>
      </c>
      <c r="M110" s="1">
        <v>4.6959999999999997</v>
      </c>
      <c r="N110" s="1">
        <f t="shared" si="8"/>
        <v>0.65700000000000003</v>
      </c>
    </row>
    <row r="111" spans="1:14" x14ac:dyDescent="0.3">
      <c r="A111" t="s">
        <v>115</v>
      </c>
      <c r="B111">
        <v>2019</v>
      </c>
      <c r="C111" s="1">
        <v>5.7430000000000003</v>
      </c>
      <c r="D111" s="1">
        <v>0.85499999999999998</v>
      </c>
      <c r="E111" s="1">
        <v>1.4750000000000001</v>
      </c>
      <c r="F111" s="1">
        <v>0.77700000000000002</v>
      </c>
      <c r="G111" s="1">
        <v>0.51400000000000001</v>
      </c>
      <c r="H111" s="1">
        <v>0.184</v>
      </c>
      <c r="I111" s="1">
        <v>0.08</v>
      </c>
      <c r="M111" s="1">
        <v>6.3209999999999997</v>
      </c>
      <c r="N111" s="1">
        <f t="shared" si="8"/>
        <v>1.149</v>
      </c>
    </row>
    <row r="112" spans="1:14" x14ac:dyDescent="0.3">
      <c r="A112" t="s">
        <v>116</v>
      </c>
      <c r="B112">
        <v>2019</v>
      </c>
      <c r="C112" s="1">
        <v>5.6970000000000001</v>
      </c>
      <c r="D112" s="1">
        <v>0.96</v>
      </c>
      <c r="E112" s="1">
        <v>1.274</v>
      </c>
      <c r="F112" s="1">
        <v>0.85399999999999998</v>
      </c>
      <c r="G112" s="1">
        <v>0.45500000000000002</v>
      </c>
      <c r="H112" s="1">
        <v>8.3000000000000004E-2</v>
      </c>
      <c r="I112" s="1">
        <v>2.7E-2</v>
      </c>
      <c r="M112" s="1">
        <v>5.7430000000000003</v>
      </c>
      <c r="N112" s="1">
        <f t="shared" si="8"/>
        <v>0.85499999999999998</v>
      </c>
    </row>
    <row r="113" spans="1:14" x14ac:dyDescent="0.3">
      <c r="A113" t="s">
        <v>117</v>
      </c>
      <c r="B113">
        <v>2019</v>
      </c>
      <c r="C113" s="1">
        <v>5.6310000000000002</v>
      </c>
      <c r="D113" s="1">
        <v>0.80700000000000005</v>
      </c>
      <c r="E113" s="1">
        <v>1.2929999999999999</v>
      </c>
      <c r="F113" s="1">
        <v>0.65700000000000003</v>
      </c>
      <c r="G113" s="1">
        <v>0.55800000000000005</v>
      </c>
      <c r="H113" s="1">
        <v>0.11700000000000001</v>
      </c>
      <c r="I113" s="1">
        <v>0.107</v>
      </c>
      <c r="M113" s="1">
        <v>5.6970000000000001</v>
      </c>
      <c r="N113" s="1">
        <f t="shared" si="8"/>
        <v>0.96</v>
      </c>
    </row>
    <row r="114" spans="1:14" x14ac:dyDescent="0.3">
      <c r="A114" t="s">
        <v>118</v>
      </c>
      <c r="B114">
        <v>2019</v>
      </c>
      <c r="C114" s="1">
        <v>6.1820000000000004</v>
      </c>
      <c r="D114" s="1">
        <v>1.206</v>
      </c>
      <c r="E114" s="1">
        <v>1.4379999999999999</v>
      </c>
      <c r="F114" s="1">
        <v>0.88400000000000001</v>
      </c>
      <c r="G114" s="1">
        <v>0.48299999999999998</v>
      </c>
      <c r="H114" s="1">
        <v>0.11700000000000001</v>
      </c>
      <c r="I114" s="1">
        <v>0.05</v>
      </c>
      <c r="M114" s="1">
        <v>5.6310000000000002</v>
      </c>
      <c r="N114" s="1">
        <f t="shared" si="8"/>
        <v>0.80700000000000005</v>
      </c>
    </row>
    <row r="115" spans="1:14" x14ac:dyDescent="0.3">
      <c r="A115" t="s">
        <v>119</v>
      </c>
      <c r="B115">
        <v>2019</v>
      </c>
      <c r="C115" s="1">
        <v>5.6929999999999996</v>
      </c>
      <c r="D115" s="1">
        <v>1.2210000000000001</v>
      </c>
      <c r="E115" s="1">
        <v>1.431</v>
      </c>
      <c r="F115" s="1">
        <v>0.999</v>
      </c>
      <c r="G115" s="1">
        <v>0.50800000000000001</v>
      </c>
      <c r="H115" s="1">
        <v>4.7E-2</v>
      </c>
      <c r="I115" s="1">
        <v>2.5000000000000001E-2</v>
      </c>
      <c r="M115" s="1">
        <v>6.1820000000000004</v>
      </c>
      <c r="N115" s="1">
        <f t="shared" si="8"/>
        <v>1.206</v>
      </c>
    </row>
    <row r="116" spans="1:14" x14ac:dyDescent="0.3">
      <c r="A116" t="s">
        <v>120</v>
      </c>
      <c r="B116">
        <v>2019</v>
      </c>
      <c r="C116" s="1">
        <v>6.3739999999999997</v>
      </c>
      <c r="D116" s="1">
        <v>1.6839999999999999</v>
      </c>
      <c r="E116" s="1">
        <v>1.3129999999999999</v>
      </c>
      <c r="F116" s="1">
        <v>0.871</v>
      </c>
      <c r="G116" s="1">
        <v>0.55500000000000005</v>
      </c>
      <c r="H116" s="1">
        <v>0.22</v>
      </c>
      <c r="I116" s="1">
        <v>0.16700000000000001</v>
      </c>
      <c r="M116" s="1">
        <v>5.6929999999999996</v>
      </c>
      <c r="N116" s="1">
        <f t="shared" si="8"/>
        <v>1.2210000000000001</v>
      </c>
    </row>
    <row r="117" spans="1:14" x14ac:dyDescent="0.3">
      <c r="A117" t="s">
        <v>121</v>
      </c>
      <c r="B117">
        <v>2019</v>
      </c>
      <c r="C117" s="1">
        <v>6.07</v>
      </c>
      <c r="D117" s="1">
        <v>1.1619999999999999</v>
      </c>
      <c r="E117" s="1">
        <v>1.232</v>
      </c>
      <c r="F117" s="1">
        <v>0.82499999999999996</v>
      </c>
      <c r="G117" s="1">
        <v>0.46200000000000002</v>
      </c>
      <c r="H117" s="1">
        <v>8.3000000000000004E-2</v>
      </c>
      <c r="I117" s="1">
        <v>5.0000000000000001E-3</v>
      </c>
      <c r="M117" s="1">
        <v>6.3739999999999997</v>
      </c>
      <c r="N117" s="1">
        <f t="shared" si="8"/>
        <v>1.6839999999999999</v>
      </c>
    </row>
    <row r="118" spans="1:14" x14ac:dyDescent="0.3">
      <c r="A118" t="s">
        <v>122</v>
      </c>
      <c r="B118">
        <v>2019</v>
      </c>
      <c r="C118" s="1">
        <v>5.6479999999999997</v>
      </c>
      <c r="D118" s="1">
        <v>1.1830000000000001</v>
      </c>
      <c r="E118" s="1">
        <v>1.452</v>
      </c>
      <c r="F118" s="1">
        <v>0.72599999999999998</v>
      </c>
      <c r="G118" s="1">
        <v>0.33400000000000002</v>
      </c>
      <c r="H118" s="1">
        <v>8.2000000000000003E-2</v>
      </c>
      <c r="I118" s="1">
        <v>3.1E-2</v>
      </c>
      <c r="M118" s="1">
        <v>6.07</v>
      </c>
      <c r="N118" s="1">
        <f t="shared" si="8"/>
        <v>1.1619999999999999</v>
      </c>
    </row>
    <row r="119" spans="1:14" x14ac:dyDescent="0.3">
      <c r="A119" t="s">
        <v>123</v>
      </c>
      <c r="B119">
        <v>2019</v>
      </c>
      <c r="C119" s="1">
        <v>3.3340000000000001</v>
      </c>
      <c r="D119" s="1">
        <v>0.35899999999999999</v>
      </c>
      <c r="E119" s="1">
        <v>0.71099999999999997</v>
      </c>
      <c r="F119" s="1">
        <v>0.61399999999999999</v>
      </c>
      <c r="G119" s="1">
        <v>0.55500000000000005</v>
      </c>
      <c r="H119" s="1">
        <v>0.217</v>
      </c>
      <c r="I119" s="1">
        <v>0.41099999999999998</v>
      </c>
      <c r="M119" s="1">
        <v>5.6479999999999997</v>
      </c>
      <c r="N119" s="1">
        <f t="shared" si="8"/>
        <v>1.1830000000000001</v>
      </c>
    </row>
    <row r="120" spans="1:14" x14ac:dyDescent="0.3">
      <c r="A120" t="s">
        <v>124</v>
      </c>
      <c r="B120">
        <v>2019</v>
      </c>
      <c r="C120" s="1">
        <v>6.375</v>
      </c>
      <c r="D120" s="1">
        <v>1.403</v>
      </c>
      <c r="E120" s="1">
        <v>1.357</v>
      </c>
      <c r="F120" s="1">
        <v>0.79500000000000004</v>
      </c>
      <c r="G120" s="1">
        <v>0.439</v>
      </c>
      <c r="H120" s="1">
        <v>0.08</v>
      </c>
      <c r="I120" s="1">
        <v>0.13200000000000001</v>
      </c>
      <c r="M120" s="1">
        <v>3.3340000000000001</v>
      </c>
      <c r="N120" s="1">
        <f t="shared" si="8"/>
        <v>0.35899999999999999</v>
      </c>
    </row>
    <row r="121" spans="1:14" x14ac:dyDescent="0.3">
      <c r="A121" t="s">
        <v>125</v>
      </c>
      <c r="B121">
        <v>2019</v>
      </c>
      <c r="C121" s="1">
        <v>4.681</v>
      </c>
      <c r="D121" s="1">
        <v>0.45</v>
      </c>
      <c r="E121" s="1">
        <v>1.1339999999999999</v>
      </c>
      <c r="F121" s="1">
        <v>0.57099999999999995</v>
      </c>
      <c r="G121" s="1">
        <v>0.29199999999999998</v>
      </c>
      <c r="H121" s="1">
        <v>0.153</v>
      </c>
      <c r="I121" s="1">
        <v>7.1999999999999995E-2</v>
      </c>
      <c r="M121" s="1">
        <v>6.375</v>
      </c>
      <c r="N121" s="1">
        <f t="shared" si="8"/>
        <v>1.403</v>
      </c>
    </row>
    <row r="122" spans="1:14" x14ac:dyDescent="0.3">
      <c r="A122" t="s">
        <v>126</v>
      </c>
      <c r="B122">
        <v>2019</v>
      </c>
      <c r="C122" s="1">
        <v>5.6029999999999998</v>
      </c>
      <c r="D122" s="1">
        <v>1.004</v>
      </c>
      <c r="E122" s="1">
        <v>1.383</v>
      </c>
      <c r="F122" s="1">
        <v>0.85399999999999998</v>
      </c>
      <c r="G122" s="1">
        <v>0.28199999999999997</v>
      </c>
      <c r="H122" s="1">
        <v>0.13700000000000001</v>
      </c>
      <c r="I122" s="1">
        <v>3.9E-2</v>
      </c>
      <c r="M122" s="1">
        <v>4.681</v>
      </c>
      <c r="N122" s="1">
        <f t="shared" si="8"/>
        <v>0.45</v>
      </c>
    </row>
    <row r="123" spans="1:14" x14ac:dyDescent="0.3">
      <c r="A123" t="s">
        <v>127</v>
      </c>
      <c r="B123">
        <v>2019</v>
      </c>
      <c r="C123" s="1">
        <v>4.3739999999999997</v>
      </c>
      <c r="D123" s="1">
        <v>0.26800000000000002</v>
      </c>
      <c r="E123" s="1">
        <v>0.84099999999999997</v>
      </c>
      <c r="F123" s="1">
        <v>0.24199999999999999</v>
      </c>
      <c r="G123" s="1">
        <v>0.309</v>
      </c>
      <c r="H123" s="1">
        <v>0.252</v>
      </c>
      <c r="I123" s="1">
        <v>4.4999999999999998E-2</v>
      </c>
      <c r="M123" s="1">
        <v>5.6029999999999998</v>
      </c>
      <c r="N123" s="1">
        <f t="shared" si="8"/>
        <v>1.004</v>
      </c>
    </row>
    <row r="124" spans="1:14" x14ac:dyDescent="0.3">
      <c r="A124" t="s">
        <v>128</v>
      </c>
      <c r="B124">
        <v>2019</v>
      </c>
      <c r="C124" s="1">
        <v>6.2619999999999996</v>
      </c>
      <c r="D124" s="1">
        <v>1.5720000000000001</v>
      </c>
      <c r="E124" s="1">
        <v>1.4630000000000001</v>
      </c>
      <c r="F124" s="1">
        <v>1.141</v>
      </c>
      <c r="G124" s="1">
        <v>0.55600000000000005</v>
      </c>
      <c r="H124" s="1">
        <v>0.27100000000000002</v>
      </c>
      <c r="I124" s="1">
        <v>0.45300000000000001</v>
      </c>
      <c r="M124" s="1">
        <v>4.3739999999999997</v>
      </c>
      <c r="N124" s="1">
        <f t="shared" si="8"/>
        <v>0.26800000000000002</v>
      </c>
    </row>
    <row r="125" spans="1:14" x14ac:dyDescent="0.3">
      <c r="A125" t="s">
        <v>129</v>
      </c>
      <c r="B125">
        <v>2019</v>
      </c>
      <c r="C125" s="1">
        <v>6.1980000000000004</v>
      </c>
      <c r="D125" s="1">
        <v>1.246</v>
      </c>
      <c r="E125" s="1">
        <v>1.504</v>
      </c>
      <c r="F125" s="1">
        <v>0.88100000000000001</v>
      </c>
      <c r="G125" s="1">
        <v>0.33400000000000002</v>
      </c>
      <c r="H125" s="1">
        <v>0.121</v>
      </c>
      <c r="I125" s="1">
        <v>1.4E-2</v>
      </c>
      <c r="M125" s="1">
        <v>6.2619999999999996</v>
      </c>
      <c r="N125" s="1">
        <f t="shared" si="8"/>
        <v>1.5720000000000001</v>
      </c>
    </row>
    <row r="126" spans="1:14" x14ac:dyDescent="0.3">
      <c r="A126" t="s">
        <v>130</v>
      </c>
      <c r="B126">
        <v>2019</v>
      </c>
      <c r="C126" s="1">
        <v>6.1180000000000003</v>
      </c>
      <c r="D126" s="1">
        <v>1.258</v>
      </c>
      <c r="E126" s="1">
        <v>1.5229999999999999</v>
      </c>
      <c r="F126" s="1">
        <v>0.95299999999999996</v>
      </c>
      <c r="G126" s="1">
        <v>0.56399999999999995</v>
      </c>
      <c r="H126" s="1">
        <v>0.14399999999999999</v>
      </c>
      <c r="I126" s="1">
        <v>5.7000000000000002E-2</v>
      </c>
      <c r="M126" s="1">
        <v>6.1980000000000004</v>
      </c>
      <c r="N126" s="1">
        <f t="shared" si="8"/>
        <v>1.246</v>
      </c>
    </row>
    <row r="127" spans="1:14" x14ac:dyDescent="0.3">
      <c r="A127" t="s">
        <v>131</v>
      </c>
      <c r="B127">
        <v>2019</v>
      </c>
      <c r="C127" s="1">
        <v>4.6680000000000001</v>
      </c>
      <c r="D127" s="1">
        <v>0</v>
      </c>
      <c r="E127" s="1">
        <v>0.69799999999999995</v>
      </c>
      <c r="F127" s="1">
        <v>0.26800000000000002</v>
      </c>
      <c r="G127" s="1">
        <v>0.55900000000000005</v>
      </c>
      <c r="H127" s="1">
        <v>0.24299999999999999</v>
      </c>
      <c r="I127" s="1">
        <v>0.27</v>
      </c>
      <c r="M127" s="1">
        <v>6.1180000000000003</v>
      </c>
      <c r="N127" s="1">
        <f t="shared" si="8"/>
        <v>1.258</v>
      </c>
    </row>
    <row r="128" spans="1:14" x14ac:dyDescent="0.3">
      <c r="A128" t="s">
        <v>132</v>
      </c>
      <c r="B128">
        <v>2019</v>
      </c>
      <c r="C128" s="1">
        <v>4.7220000000000004</v>
      </c>
      <c r="D128" s="1">
        <v>0.96</v>
      </c>
      <c r="E128" s="1">
        <v>1.351</v>
      </c>
      <c r="F128" s="1">
        <v>0.46899999999999997</v>
      </c>
      <c r="G128" s="1">
        <v>0.38900000000000001</v>
      </c>
      <c r="H128" s="1">
        <v>0.13</v>
      </c>
      <c r="I128" s="1">
        <v>5.5E-2</v>
      </c>
      <c r="M128" s="1">
        <v>4.6680000000000001</v>
      </c>
      <c r="N128" s="1">
        <f t="shared" si="8"/>
        <v>0</v>
      </c>
    </row>
    <row r="129" spans="1:14" x14ac:dyDescent="0.3">
      <c r="A129" t="s">
        <v>133</v>
      </c>
      <c r="B129">
        <v>2019</v>
      </c>
      <c r="C129" s="1">
        <v>5.8949999999999996</v>
      </c>
      <c r="D129" s="1">
        <v>1.3009999999999999</v>
      </c>
      <c r="E129" s="1">
        <v>1.2190000000000001</v>
      </c>
      <c r="F129" s="1">
        <v>1.036</v>
      </c>
      <c r="G129" s="1">
        <v>0.159</v>
      </c>
      <c r="H129" s="1">
        <v>0.17499999999999999</v>
      </c>
      <c r="I129" s="1">
        <v>5.6000000000000001E-2</v>
      </c>
      <c r="M129" s="1">
        <v>4.7220000000000004</v>
      </c>
      <c r="N129" s="1">
        <f t="shared" si="8"/>
        <v>0.96</v>
      </c>
    </row>
    <row r="130" spans="1:14" x14ac:dyDescent="0.3">
      <c r="A130" t="s">
        <v>134</v>
      </c>
      <c r="B130">
        <v>2019</v>
      </c>
      <c r="C130" s="1">
        <v>2.8530000000000002</v>
      </c>
      <c r="D130" s="1">
        <v>0.30599999999999999</v>
      </c>
      <c r="E130" s="1">
        <v>0.57499999999999996</v>
      </c>
      <c r="F130" s="1">
        <v>0.29499999999999998</v>
      </c>
      <c r="G130" s="1">
        <v>0.01</v>
      </c>
      <c r="H130" s="1">
        <v>0.20200000000000001</v>
      </c>
      <c r="I130" s="1">
        <v>9.0999999999999998E-2</v>
      </c>
      <c r="M130" s="1">
        <v>5.8949999999999996</v>
      </c>
      <c r="N130" s="1">
        <f t="shared" si="8"/>
        <v>1.3009999999999999</v>
      </c>
    </row>
    <row r="131" spans="1:14" x14ac:dyDescent="0.3">
      <c r="A131" t="s">
        <v>135</v>
      </c>
      <c r="B131">
        <v>2019</v>
      </c>
      <c r="C131" s="1">
        <v>6.3540000000000001</v>
      </c>
      <c r="D131" s="1">
        <v>1.286</v>
      </c>
      <c r="E131" s="1">
        <v>1.484</v>
      </c>
      <c r="F131" s="1">
        <v>1.0620000000000001</v>
      </c>
      <c r="G131" s="1">
        <v>0.36199999999999999</v>
      </c>
      <c r="H131" s="1">
        <v>0.153</v>
      </c>
      <c r="I131" s="1">
        <v>7.9000000000000001E-2</v>
      </c>
      <c r="M131" s="1">
        <v>2.8530000000000002</v>
      </c>
      <c r="N131" s="1">
        <f t="shared" si="8"/>
        <v>0.30599999999999999</v>
      </c>
    </row>
    <row r="132" spans="1:14" x14ac:dyDescent="0.3">
      <c r="A132" t="s">
        <v>136</v>
      </c>
      <c r="B132">
        <v>2019</v>
      </c>
      <c r="C132" s="1">
        <v>4.3659999999999997</v>
      </c>
      <c r="D132" s="1">
        <v>0.94899999999999995</v>
      </c>
      <c r="E132" s="1">
        <v>1.2649999999999999</v>
      </c>
      <c r="F132" s="1">
        <v>0.83099999999999996</v>
      </c>
      <c r="G132" s="1">
        <v>0.47</v>
      </c>
      <c r="H132" s="1">
        <v>0.24399999999999999</v>
      </c>
      <c r="I132" s="1">
        <v>4.7E-2</v>
      </c>
      <c r="M132" s="1">
        <v>6.3540000000000001</v>
      </c>
      <c r="N132" s="1">
        <f t="shared" ref="N132:N158" si="9">INDEX(C131:I286,MATCH(M132,C131:C286,0),MATCH(N131,C130:I130,0))</f>
        <v>1.286</v>
      </c>
    </row>
    <row r="133" spans="1:14" x14ac:dyDescent="0.3">
      <c r="A133" t="s">
        <v>137</v>
      </c>
      <c r="B133">
        <v>2019</v>
      </c>
      <c r="C133" s="1">
        <v>4.2119999999999997</v>
      </c>
      <c r="D133" s="1">
        <v>0.81100000000000005</v>
      </c>
      <c r="E133" s="1">
        <v>1.149</v>
      </c>
      <c r="F133" s="1">
        <v>0</v>
      </c>
      <c r="G133" s="1">
        <v>0.313</v>
      </c>
      <c r="H133" s="1">
        <v>7.3999999999999996E-2</v>
      </c>
      <c r="I133" s="1">
        <v>0.13500000000000001</v>
      </c>
      <c r="M133" s="1">
        <v>4.3659999999999997</v>
      </c>
      <c r="N133" s="1">
        <f t="shared" si="9"/>
        <v>0.94899999999999995</v>
      </c>
    </row>
    <row r="134" spans="1:14" x14ac:dyDescent="0.3">
      <c r="A134" t="s">
        <v>138</v>
      </c>
      <c r="B134">
        <v>2019</v>
      </c>
      <c r="C134" s="1">
        <v>7.343</v>
      </c>
      <c r="D134" s="1">
        <v>1.387</v>
      </c>
      <c r="E134" s="1">
        <v>1.4870000000000001</v>
      </c>
      <c r="F134" s="1">
        <v>1.0089999999999999</v>
      </c>
      <c r="G134" s="1">
        <v>0.57399999999999995</v>
      </c>
      <c r="H134" s="1">
        <v>0.26700000000000002</v>
      </c>
      <c r="I134" s="1">
        <v>0.373</v>
      </c>
      <c r="M134" s="1">
        <v>4.2119999999999997</v>
      </c>
      <c r="N134" s="1">
        <f t="shared" si="9"/>
        <v>0.81100000000000005</v>
      </c>
    </row>
    <row r="135" spans="1:14" x14ac:dyDescent="0.3">
      <c r="A135" t="s">
        <v>139</v>
      </c>
      <c r="B135">
        <v>2019</v>
      </c>
      <c r="C135" s="1">
        <v>7.48</v>
      </c>
      <c r="D135" s="1">
        <v>1.452</v>
      </c>
      <c r="E135" s="1">
        <v>1.526</v>
      </c>
      <c r="F135" s="1">
        <v>1.052</v>
      </c>
      <c r="G135" s="1">
        <v>0.57199999999999995</v>
      </c>
      <c r="H135" s="1">
        <v>0.26300000000000001</v>
      </c>
      <c r="I135" s="1">
        <v>0.34300000000000003</v>
      </c>
      <c r="M135" s="1">
        <v>7.343</v>
      </c>
      <c r="N135" s="1">
        <f t="shared" si="9"/>
        <v>1.387</v>
      </c>
    </row>
    <row r="136" spans="1:14" x14ac:dyDescent="0.3">
      <c r="A136" t="s">
        <v>140</v>
      </c>
      <c r="B136">
        <v>2019</v>
      </c>
      <c r="C136" s="1">
        <v>3.4620000000000002</v>
      </c>
      <c r="D136" s="1">
        <v>0.61899999999999999</v>
      </c>
      <c r="E136" s="1">
        <v>0.378</v>
      </c>
      <c r="F136" s="1">
        <v>0.44</v>
      </c>
      <c r="G136" s="1">
        <v>1.2999999999999999E-2</v>
      </c>
      <c r="H136" s="1">
        <v>0.33100000000000002</v>
      </c>
      <c r="I136" s="1">
        <v>0.14099999999999999</v>
      </c>
      <c r="M136" s="1">
        <v>7.48</v>
      </c>
      <c r="N136" s="1">
        <f t="shared" si="9"/>
        <v>1.452</v>
      </c>
    </row>
    <row r="137" spans="1:14" x14ac:dyDescent="0.3">
      <c r="A137" t="s">
        <v>141</v>
      </c>
      <c r="B137">
        <v>2019</v>
      </c>
      <c r="C137" s="1">
        <v>6.4459999999999997</v>
      </c>
      <c r="D137" s="1">
        <v>1.3680000000000001</v>
      </c>
      <c r="E137" s="1">
        <v>1.43</v>
      </c>
      <c r="F137" s="1">
        <v>0.91400000000000003</v>
      </c>
      <c r="G137" s="1">
        <v>0.35099999999999998</v>
      </c>
      <c r="H137" s="1">
        <v>0.24199999999999999</v>
      </c>
      <c r="I137" s="1">
        <v>9.7000000000000003E-2</v>
      </c>
      <c r="M137" s="1">
        <v>3.4620000000000002</v>
      </c>
      <c r="N137" s="1">
        <f t="shared" si="9"/>
        <v>0.61899999999999999</v>
      </c>
    </row>
    <row r="138" spans="1:14" x14ac:dyDescent="0.3">
      <c r="A138" t="s">
        <v>142</v>
      </c>
      <c r="B138">
        <v>2019</v>
      </c>
      <c r="C138" s="1">
        <v>5.4669999999999996</v>
      </c>
      <c r="D138" s="1">
        <v>0.49299999999999999</v>
      </c>
      <c r="E138" s="1">
        <v>1.0980000000000001</v>
      </c>
      <c r="F138" s="1">
        <v>0.71799999999999997</v>
      </c>
      <c r="G138" s="1">
        <v>0.38900000000000001</v>
      </c>
      <c r="H138" s="1">
        <v>0.23</v>
      </c>
      <c r="I138" s="1">
        <v>0.14399999999999999</v>
      </c>
      <c r="M138" s="1">
        <v>6.4459999999999997</v>
      </c>
      <c r="N138" s="1">
        <f t="shared" si="9"/>
        <v>1.3680000000000001</v>
      </c>
    </row>
    <row r="139" spans="1:14" x14ac:dyDescent="0.3">
      <c r="A139" t="s">
        <v>143</v>
      </c>
      <c r="B139">
        <v>2019</v>
      </c>
      <c r="C139" s="1">
        <v>3.2309999999999999</v>
      </c>
      <c r="D139" s="1">
        <v>0.47599999999999998</v>
      </c>
      <c r="E139" s="1">
        <v>0.88500000000000001</v>
      </c>
      <c r="F139" s="1">
        <v>0.499</v>
      </c>
      <c r="G139" s="1">
        <v>0.41699999999999998</v>
      </c>
      <c r="H139" s="1">
        <v>0.27600000000000002</v>
      </c>
      <c r="I139" s="1">
        <v>0.14699999999999999</v>
      </c>
      <c r="M139" s="1">
        <v>5.4669999999999996</v>
      </c>
      <c r="N139" s="1">
        <f t="shared" si="9"/>
        <v>0.49299999999999999</v>
      </c>
    </row>
    <row r="140" spans="1:14" x14ac:dyDescent="0.3">
      <c r="A140" t="s">
        <v>144</v>
      </c>
      <c r="B140">
        <v>2019</v>
      </c>
      <c r="C140" s="1">
        <v>6.008</v>
      </c>
      <c r="D140" s="1">
        <v>1.05</v>
      </c>
      <c r="E140" s="1">
        <v>1.409</v>
      </c>
      <c r="F140" s="1">
        <v>0.82799999999999996</v>
      </c>
      <c r="G140" s="1">
        <v>0.55700000000000005</v>
      </c>
      <c r="H140" s="1">
        <v>0.35899999999999999</v>
      </c>
      <c r="I140" s="1">
        <v>2.8000000000000001E-2</v>
      </c>
      <c r="M140" s="1">
        <v>3.2309999999999999</v>
      </c>
      <c r="N140" s="1">
        <f t="shared" si="9"/>
        <v>0.47599999999999998</v>
      </c>
    </row>
    <row r="141" spans="1:14" x14ac:dyDescent="0.3">
      <c r="A141" t="s">
        <v>145</v>
      </c>
      <c r="B141">
        <v>2019</v>
      </c>
      <c r="C141" s="1">
        <v>4.085</v>
      </c>
      <c r="D141" s="1">
        <v>0.27500000000000002</v>
      </c>
      <c r="E141" s="1">
        <v>0.57199999999999995</v>
      </c>
      <c r="F141" s="1">
        <v>0.41</v>
      </c>
      <c r="G141" s="1">
        <v>0.29299999999999998</v>
      </c>
      <c r="H141" s="1">
        <v>0.17699999999999999</v>
      </c>
      <c r="I141" s="1">
        <v>8.5000000000000006E-2</v>
      </c>
      <c r="M141" s="1">
        <v>6.008</v>
      </c>
      <c r="N141" s="1">
        <f t="shared" si="9"/>
        <v>1.05</v>
      </c>
    </row>
    <row r="142" spans="1:14" x14ac:dyDescent="0.3">
      <c r="A142" t="s">
        <v>146</v>
      </c>
      <c r="B142">
        <v>2019</v>
      </c>
      <c r="C142" s="1">
        <v>6.1920000000000002</v>
      </c>
      <c r="D142" s="1">
        <v>1.2310000000000001</v>
      </c>
      <c r="E142" s="1">
        <v>1.4770000000000001</v>
      </c>
      <c r="F142" s="1">
        <v>0.71299999999999997</v>
      </c>
      <c r="G142" s="1">
        <v>0.48899999999999999</v>
      </c>
      <c r="H142" s="1">
        <v>0.185</v>
      </c>
      <c r="I142" s="1">
        <v>1.6E-2</v>
      </c>
      <c r="M142" s="1">
        <v>4.085</v>
      </c>
      <c r="N142" s="1">
        <f t="shared" si="9"/>
        <v>0.27500000000000002</v>
      </c>
    </row>
    <row r="143" spans="1:14" x14ac:dyDescent="0.3">
      <c r="A143" t="s">
        <v>147</v>
      </c>
      <c r="B143">
        <v>2019</v>
      </c>
      <c r="C143" s="1">
        <v>4.4610000000000003</v>
      </c>
      <c r="D143" s="1">
        <v>0.92100000000000004</v>
      </c>
      <c r="E143" s="1">
        <v>1</v>
      </c>
      <c r="F143" s="1">
        <v>0.81499999999999995</v>
      </c>
      <c r="G143" s="1">
        <v>0.16700000000000001</v>
      </c>
      <c r="H143" s="1">
        <v>5.8999999999999997E-2</v>
      </c>
      <c r="I143" s="1">
        <v>5.5E-2</v>
      </c>
      <c r="M143" s="1">
        <v>6.1920000000000002</v>
      </c>
      <c r="N143" s="1">
        <f t="shared" si="9"/>
        <v>1.2310000000000001</v>
      </c>
    </row>
    <row r="144" spans="1:14" x14ac:dyDescent="0.3">
      <c r="A144" t="s">
        <v>148</v>
      </c>
      <c r="B144">
        <v>2019</v>
      </c>
      <c r="C144" s="1">
        <v>5.3730000000000002</v>
      </c>
      <c r="D144" s="1">
        <v>1.1830000000000001</v>
      </c>
      <c r="E144" s="1">
        <v>1.36</v>
      </c>
      <c r="F144" s="1">
        <v>0.80800000000000005</v>
      </c>
      <c r="G144" s="1">
        <v>0.19500000000000001</v>
      </c>
      <c r="H144" s="1">
        <v>8.3000000000000004E-2</v>
      </c>
      <c r="I144" s="1">
        <v>0.106</v>
      </c>
      <c r="M144" s="1">
        <v>4.4610000000000003</v>
      </c>
      <c r="N144" s="1">
        <f t="shared" si="9"/>
        <v>0.92100000000000004</v>
      </c>
    </row>
    <row r="145" spans="1:14" x14ac:dyDescent="0.3">
      <c r="A145" t="s">
        <v>149</v>
      </c>
      <c r="B145">
        <v>2019</v>
      </c>
      <c r="C145" s="1">
        <v>5.2469999999999999</v>
      </c>
      <c r="D145" s="1">
        <v>1.052</v>
      </c>
      <c r="E145" s="1">
        <v>1.538</v>
      </c>
      <c r="F145" s="1">
        <v>0.65700000000000003</v>
      </c>
      <c r="G145" s="1">
        <v>0.39400000000000002</v>
      </c>
      <c r="H145" s="1">
        <v>0.24399999999999999</v>
      </c>
      <c r="I145" s="1">
        <v>2.8000000000000001E-2</v>
      </c>
      <c r="M145" s="1">
        <v>5.3730000000000002</v>
      </c>
      <c r="N145" s="1">
        <f t="shared" si="9"/>
        <v>1.1830000000000001</v>
      </c>
    </row>
    <row r="146" spans="1:14" x14ac:dyDescent="0.3">
      <c r="A146" t="s">
        <v>150</v>
      </c>
      <c r="B146">
        <v>2019</v>
      </c>
      <c r="C146" s="1">
        <v>4.1890000000000001</v>
      </c>
      <c r="D146" s="1">
        <v>0.33200000000000002</v>
      </c>
      <c r="E146" s="1">
        <v>1.069</v>
      </c>
      <c r="F146" s="1">
        <v>0.443</v>
      </c>
      <c r="G146" s="1">
        <v>0.35599999999999998</v>
      </c>
      <c r="H146" s="1">
        <v>0.252</v>
      </c>
      <c r="I146" s="1">
        <v>0.06</v>
      </c>
      <c r="M146" s="1">
        <v>5.2469999999999999</v>
      </c>
      <c r="N146" s="1">
        <f t="shared" si="9"/>
        <v>1.052</v>
      </c>
    </row>
    <row r="147" spans="1:14" x14ac:dyDescent="0.3">
      <c r="A147" t="s">
        <v>151</v>
      </c>
      <c r="B147">
        <v>2019</v>
      </c>
      <c r="C147" s="1">
        <v>4.3319999999999999</v>
      </c>
      <c r="D147" s="1">
        <v>0.82</v>
      </c>
      <c r="E147" s="1">
        <v>1.39</v>
      </c>
      <c r="F147" s="1">
        <v>0.73899999999999999</v>
      </c>
      <c r="G147" s="1">
        <v>0.17799999999999999</v>
      </c>
      <c r="H147" s="1">
        <v>0.187</v>
      </c>
      <c r="I147" s="1">
        <v>0.01</v>
      </c>
      <c r="M147" s="1">
        <v>4.1890000000000001</v>
      </c>
      <c r="N147" s="1">
        <f t="shared" si="9"/>
        <v>0.33200000000000002</v>
      </c>
    </row>
    <row r="148" spans="1:14" x14ac:dyDescent="0.3">
      <c r="A148" t="s">
        <v>152</v>
      </c>
      <c r="B148">
        <v>2019</v>
      </c>
      <c r="C148" s="1">
        <v>6.8250000000000002</v>
      </c>
      <c r="D148" s="1">
        <v>1.5029999999999999</v>
      </c>
      <c r="E148" s="1">
        <v>1.31</v>
      </c>
      <c r="F148" s="1">
        <v>0.82499999999999996</v>
      </c>
      <c r="G148" s="1">
        <v>0.59799999999999998</v>
      </c>
      <c r="H148" s="1">
        <v>0.26200000000000001</v>
      </c>
      <c r="I148" s="1">
        <v>0.182</v>
      </c>
      <c r="M148" s="1">
        <v>4.3319999999999999</v>
      </c>
      <c r="N148" s="1">
        <f t="shared" si="9"/>
        <v>0.82</v>
      </c>
    </row>
    <row r="149" spans="1:14" x14ac:dyDescent="0.3">
      <c r="A149" t="s">
        <v>153</v>
      </c>
      <c r="B149">
        <v>2019</v>
      </c>
      <c r="C149" s="1">
        <v>7.0540000000000003</v>
      </c>
      <c r="D149" s="1">
        <v>1.333</v>
      </c>
      <c r="E149" s="1">
        <v>1.538</v>
      </c>
      <c r="F149" s="1">
        <v>0.996</v>
      </c>
      <c r="G149" s="1">
        <v>0.45</v>
      </c>
      <c r="H149" s="1">
        <v>0.34799999999999998</v>
      </c>
      <c r="I149" s="1">
        <v>0.27800000000000002</v>
      </c>
      <c r="M149" s="1">
        <v>6.8250000000000002</v>
      </c>
      <c r="N149" s="1">
        <f t="shared" si="9"/>
        <v>1.5029999999999999</v>
      </c>
    </row>
    <row r="150" spans="1:14" x14ac:dyDescent="0.3">
      <c r="A150" t="s">
        <v>154</v>
      </c>
      <c r="B150">
        <v>2019</v>
      </c>
      <c r="C150" s="1">
        <v>6.8920000000000003</v>
      </c>
      <c r="D150" s="1">
        <v>1.4330000000000001</v>
      </c>
      <c r="E150" s="1">
        <v>1.4570000000000001</v>
      </c>
      <c r="F150" s="1">
        <v>0.874</v>
      </c>
      <c r="G150" s="1">
        <v>0.45400000000000001</v>
      </c>
      <c r="H150" s="1">
        <v>0.28000000000000003</v>
      </c>
      <c r="I150" s="1">
        <v>0.128</v>
      </c>
      <c r="M150" s="1">
        <v>7.0540000000000003</v>
      </c>
      <c r="N150" s="1">
        <f t="shared" si="9"/>
        <v>1.333</v>
      </c>
    </row>
    <row r="151" spans="1:14" x14ac:dyDescent="0.3">
      <c r="A151" t="s">
        <v>155</v>
      </c>
      <c r="B151">
        <v>2019</v>
      </c>
      <c r="C151" s="1">
        <v>6.2930000000000001</v>
      </c>
      <c r="D151" s="1">
        <v>1.1240000000000001</v>
      </c>
      <c r="E151" s="1">
        <v>1.4650000000000001</v>
      </c>
      <c r="F151" s="1">
        <v>0.89100000000000001</v>
      </c>
      <c r="G151" s="1">
        <v>0.52300000000000002</v>
      </c>
      <c r="H151" s="1">
        <v>0.127</v>
      </c>
      <c r="I151" s="1">
        <v>0.15</v>
      </c>
      <c r="M151" s="1">
        <v>6.8920000000000003</v>
      </c>
      <c r="N151" s="1">
        <f t="shared" si="9"/>
        <v>1.4330000000000001</v>
      </c>
    </row>
    <row r="152" spans="1:14" x14ac:dyDescent="0.3">
      <c r="A152" t="s">
        <v>156</v>
      </c>
      <c r="B152">
        <v>2019</v>
      </c>
      <c r="C152" s="1">
        <v>6.1740000000000004</v>
      </c>
      <c r="D152" s="1">
        <v>0.745</v>
      </c>
      <c r="E152" s="1">
        <v>1.5289999999999999</v>
      </c>
      <c r="F152" s="1">
        <v>0.75600000000000001</v>
      </c>
      <c r="G152" s="1">
        <v>0.63100000000000001</v>
      </c>
      <c r="H152" s="1">
        <v>0.32200000000000001</v>
      </c>
      <c r="I152" s="1">
        <v>0.24</v>
      </c>
      <c r="M152" s="1">
        <v>6.2930000000000001</v>
      </c>
      <c r="N152" s="1">
        <f t="shared" si="9"/>
        <v>1.1240000000000001</v>
      </c>
    </row>
    <row r="153" spans="1:14" x14ac:dyDescent="0.3">
      <c r="A153" t="s">
        <v>157</v>
      </c>
      <c r="B153">
        <v>2019</v>
      </c>
      <c r="C153" s="1">
        <v>4.7069999999999999</v>
      </c>
      <c r="D153" s="1">
        <v>0.96</v>
      </c>
      <c r="E153" s="1">
        <v>1.427</v>
      </c>
      <c r="F153" s="1">
        <v>0.80500000000000005</v>
      </c>
      <c r="G153" s="1">
        <v>0.154</v>
      </c>
      <c r="H153" s="1">
        <v>6.4000000000000001E-2</v>
      </c>
      <c r="I153" s="1">
        <v>4.7E-2</v>
      </c>
      <c r="M153" s="1">
        <v>6.1740000000000004</v>
      </c>
      <c r="N153" s="1">
        <f t="shared" si="9"/>
        <v>0.745</v>
      </c>
    </row>
    <row r="154" spans="1:14" x14ac:dyDescent="0.3">
      <c r="A154" t="s">
        <v>158</v>
      </c>
      <c r="B154">
        <v>2019</v>
      </c>
      <c r="C154" s="1">
        <v>5.1749999999999998</v>
      </c>
      <c r="D154" s="1">
        <v>0.74099999999999999</v>
      </c>
      <c r="E154" s="1">
        <v>1.3460000000000001</v>
      </c>
      <c r="F154" s="1">
        <v>0.85099999999999998</v>
      </c>
      <c r="G154" s="1">
        <v>0.54300000000000004</v>
      </c>
      <c r="H154" s="1">
        <v>0.14699999999999999</v>
      </c>
      <c r="I154" s="1">
        <v>7.2999999999999995E-2</v>
      </c>
      <c r="M154" s="1">
        <v>4.7069999999999999</v>
      </c>
      <c r="N154" s="1">
        <f t="shared" si="9"/>
        <v>0.96</v>
      </c>
    </row>
    <row r="155" spans="1:14" x14ac:dyDescent="0.3">
      <c r="A155" t="s">
        <v>159</v>
      </c>
      <c r="B155">
        <v>2019</v>
      </c>
      <c r="C155" s="1">
        <v>3.38</v>
      </c>
      <c r="D155" s="1">
        <v>0.28699999999999998</v>
      </c>
      <c r="E155" s="1">
        <v>1.163</v>
      </c>
      <c r="F155" s="1">
        <v>0.46300000000000002</v>
      </c>
      <c r="G155" s="1">
        <v>0.14299999999999999</v>
      </c>
      <c r="H155" s="1">
        <v>0.108</v>
      </c>
      <c r="I155" s="1">
        <v>7.6999999999999999E-2</v>
      </c>
      <c r="M155" s="1">
        <v>5.1749999999999998</v>
      </c>
      <c r="N155" s="1">
        <f t="shared" si="9"/>
        <v>0.74099999999999999</v>
      </c>
    </row>
    <row r="156" spans="1:14" x14ac:dyDescent="0.3">
      <c r="A156" t="s">
        <v>160</v>
      </c>
      <c r="B156">
        <v>2019</v>
      </c>
      <c r="C156" s="1">
        <v>4.1070000000000002</v>
      </c>
      <c r="D156" s="1">
        <v>0.57799999999999996</v>
      </c>
      <c r="E156" s="1">
        <v>1.0580000000000001</v>
      </c>
      <c r="F156" s="1">
        <v>0.42599999999999999</v>
      </c>
      <c r="G156" s="1">
        <v>0.43099999999999999</v>
      </c>
      <c r="H156" s="1">
        <v>0.247</v>
      </c>
      <c r="I156" s="1">
        <v>8.6999999999999994E-2</v>
      </c>
      <c r="M156" s="1">
        <v>3.38</v>
      </c>
      <c r="N156" s="1">
        <f t="shared" si="9"/>
        <v>0.28699999999999998</v>
      </c>
    </row>
    <row r="157" spans="1:14" x14ac:dyDescent="0.3">
      <c r="A157" t="s">
        <v>161</v>
      </c>
      <c r="B157">
        <v>2019</v>
      </c>
      <c r="C157" s="1">
        <v>3.6629999999999998</v>
      </c>
      <c r="D157" s="1">
        <v>0.36599999999999999</v>
      </c>
      <c r="E157" s="1">
        <v>1.1140000000000001</v>
      </c>
      <c r="F157" s="1">
        <v>0.433</v>
      </c>
      <c r="G157" s="1">
        <v>0.36099999999999999</v>
      </c>
      <c r="H157" s="1">
        <v>0.151</v>
      </c>
      <c r="I157" s="1">
        <v>8.8999999999999996E-2</v>
      </c>
      <c r="M157" s="1">
        <v>4.1070000000000002</v>
      </c>
      <c r="N157" s="1">
        <f t="shared" si="9"/>
        <v>0.57799999999999996</v>
      </c>
    </row>
    <row r="158" spans="1:14" x14ac:dyDescent="0.3">
      <c r="M158" s="1">
        <v>3.6629999999999998</v>
      </c>
      <c r="N158" s="1">
        <f t="shared" si="9"/>
        <v>0.36599999999999999</v>
      </c>
    </row>
  </sheetData>
  <conditionalFormatting sqref="R24:X30">
    <cfRule type="colorScale" priority="1">
      <colorScale>
        <cfvo type="min"/>
        <cfvo type="max"/>
        <color theme="0"/>
        <color theme="3" tint="0.249977111117893"/>
      </colorScale>
    </cfRule>
    <cfRule type="colorScale" priority="2">
      <colorScale>
        <cfvo type="min"/>
        <cfvo type="max"/>
        <color theme="3" tint="0.89999084444715716"/>
        <color theme="3" tint="0.499984740745262"/>
      </colorScale>
    </cfRule>
    <cfRule type="colorScale" priority="3">
      <colorScale>
        <cfvo type="min"/>
        <cfvo type="max"/>
        <color theme="3" tint="0.249977111117893"/>
        <color theme="3" tint="0.89999084444715716"/>
      </colorScale>
    </cfRule>
    <cfRule type="colorScale" priority="4">
      <colorScale>
        <cfvo type="min"/>
        <cfvo type="max"/>
        <color theme="3" tint="9.9978637043366805E-2"/>
        <color theme="3" tint="0.89999084444715716"/>
      </colorScale>
    </cfRule>
    <cfRule type="colorScale" priority="5">
      <colorScale>
        <cfvo type="min"/>
        <cfvo type="max"/>
        <color rgb="FFFCFCFF"/>
        <color rgb="FFF8696B"/>
      </colorScale>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C24F6-9F7E-4226-87E2-20A6AD231AAC}">
  <sheetPr codeName="Sheet4"/>
  <dimension ref="A1:B22"/>
  <sheetViews>
    <sheetView workbookViewId="0">
      <selection activeCell="B7" sqref="B7"/>
    </sheetView>
  </sheetViews>
  <sheetFormatPr defaultRowHeight="14.4" x14ac:dyDescent="0.3"/>
  <cols>
    <col min="1" max="1" width="18.109375" bestFit="1" customWidth="1"/>
    <col min="2" max="2" width="30.109375" bestFit="1" customWidth="1"/>
    <col min="3" max="5" width="15.5546875" bestFit="1" customWidth="1"/>
    <col min="6" max="6" width="10.5546875" bestFit="1" customWidth="1"/>
  </cols>
  <sheetData>
    <row r="1" spans="1:2" x14ac:dyDescent="0.3">
      <c r="A1" s="2" t="s">
        <v>0</v>
      </c>
      <c r="B1" t="s">
        <v>152</v>
      </c>
    </row>
    <row r="3" spans="1:2" x14ac:dyDescent="0.3">
      <c r="A3" s="2" t="s">
        <v>162</v>
      </c>
      <c r="B3" t="s">
        <v>164</v>
      </c>
    </row>
    <row r="4" spans="1:2" x14ac:dyDescent="0.3">
      <c r="A4" s="3">
        <v>2016</v>
      </c>
      <c r="B4" s="1">
        <v>6.5730000000000004</v>
      </c>
    </row>
    <row r="5" spans="1:2" x14ac:dyDescent="0.3">
      <c r="A5" s="3">
        <v>2017</v>
      </c>
      <c r="B5" s="1">
        <v>6.6479997634887704</v>
      </c>
    </row>
    <row r="6" spans="1:2" x14ac:dyDescent="0.3">
      <c r="A6" s="3">
        <v>2018</v>
      </c>
      <c r="B6" s="1">
        <v>6.774</v>
      </c>
    </row>
    <row r="7" spans="1:2" x14ac:dyDescent="0.3">
      <c r="A7" s="3">
        <v>2019</v>
      </c>
      <c r="B7" s="1">
        <v>6.8250000000000002</v>
      </c>
    </row>
    <row r="8" spans="1:2" x14ac:dyDescent="0.3">
      <c r="A8" s="3" t="s">
        <v>163</v>
      </c>
      <c r="B8" s="1">
        <v>6.7049999408721925</v>
      </c>
    </row>
    <row r="17" spans="1:2" x14ac:dyDescent="0.3">
      <c r="A17" s="2" t="s">
        <v>162</v>
      </c>
      <c r="B17" t="s">
        <v>165</v>
      </c>
    </row>
    <row r="18" spans="1:2" x14ac:dyDescent="0.3">
      <c r="A18" s="3">
        <v>2016</v>
      </c>
      <c r="B18" s="1">
        <v>5.3821847133757963</v>
      </c>
    </row>
    <row r="19" spans="1:2" x14ac:dyDescent="0.3">
      <c r="A19" s="3">
        <v>2017</v>
      </c>
      <c r="B19" s="1">
        <v>5.354019355773926</v>
      </c>
    </row>
    <row r="20" spans="1:2" x14ac:dyDescent="0.3">
      <c r="A20" s="3">
        <v>2018</v>
      </c>
      <c r="B20" s="1">
        <v>5.375916666666666</v>
      </c>
    </row>
    <row r="21" spans="1:2" x14ac:dyDescent="0.3">
      <c r="A21" s="3">
        <v>2019</v>
      </c>
      <c r="B21" s="1">
        <v>5.4070961538461546</v>
      </c>
    </row>
    <row r="22" spans="1:2" x14ac:dyDescent="0.3">
      <c r="A22" s="3" t="s">
        <v>163</v>
      </c>
      <c r="B22" s="1">
        <v>5.3798493592066539</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D655A-4FED-4A7E-AFC1-07967FF3A220}">
  <sheetPr codeName="Sheet5"/>
  <dimension ref="A1:W33"/>
  <sheetViews>
    <sheetView tabSelected="1" zoomScaleNormal="100" workbookViewId="0">
      <selection activeCell="W16" sqref="W16"/>
    </sheetView>
  </sheetViews>
  <sheetFormatPr defaultRowHeight="14.4" x14ac:dyDescent="0.3"/>
  <cols>
    <col min="1" max="1" width="10" bestFit="1" customWidth="1"/>
    <col min="7" max="7" width="10" bestFit="1" customWidth="1"/>
    <col min="8" max="8" width="8.88671875" customWidth="1"/>
    <col min="10" max="16" width="9" bestFit="1" customWidth="1"/>
    <col min="19" max="19" width="9" bestFit="1" customWidth="1"/>
    <col min="23" max="23" width="8.88671875" customWidth="1"/>
  </cols>
  <sheetData>
    <row r="1" spans="1:23" ht="33.6" x14ac:dyDescent="0.65">
      <c r="A1" s="18" t="s">
        <v>175</v>
      </c>
      <c r="B1" s="18"/>
      <c r="C1" s="18"/>
      <c r="D1" s="18"/>
      <c r="E1" s="18"/>
      <c r="F1" s="18"/>
      <c r="G1" s="18"/>
      <c r="H1" s="18"/>
      <c r="I1" s="18"/>
      <c r="J1" s="18"/>
      <c r="K1" s="18"/>
      <c r="L1" s="18"/>
      <c r="M1" s="18"/>
      <c r="N1" s="18"/>
      <c r="O1" s="18"/>
      <c r="P1" s="18"/>
      <c r="Q1" s="18"/>
      <c r="R1" s="18"/>
      <c r="S1" s="18"/>
      <c r="T1" s="18"/>
      <c r="U1" s="18"/>
      <c r="V1" s="18"/>
      <c r="W1" s="18"/>
    </row>
    <row r="2" spans="1:23" ht="37.200000000000003" customHeight="1" x14ac:dyDescent="0.3">
      <c r="A2" s="22" t="s">
        <v>166</v>
      </c>
      <c r="B2" s="23"/>
      <c r="C2" s="23"/>
      <c r="D2" s="24"/>
      <c r="E2" s="11">
        <f>MAX('Working sheet'!C2:C157)</f>
        <v>7.7690000000000001</v>
      </c>
      <c r="G2" s="22" t="s">
        <v>167</v>
      </c>
      <c r="H2" s="23"/>
      <c r="I2" s="23"/>
      <c r="J2" s="24"/>
      <c r="K2" s="11">
        <f>MIN('Working sheet'!C2:C157)</f>
        <v>2.8530000000000002</v>
      </c>
      <c r="M2" s="25" t="s">
        <v>168</v>
      </c>
      <c r="N2" s="26"/>
      <c r="O2" s="26"/>
      <c r="P2" s="27"/>
      <c r="Q2" s="10">
        <v>6.83</v>
      </c>
      <c r="S2" s="25" t="s">
        <v>169</v>
      </c>
      <c r="T2" s="26"/>
      <c r="U2" s="26"/>
      <c r="V2" s="27"/>
      <c r="W2" s="11">
        <f>AVERAGE('Working sheet'!C2:C157)</f>
        <v>5.4070961538461564</v>
      </c>
    </row>
    <row r="3" spans="1:23" ht="18" x14ac:dyDescent="0.35">
      <c r="C3" s="12"/>
      <c r="D3" s="13"/>
      <c r="E3" s="14"/>
      <c r="F3" s="14"/>
      <c r="I3" s="12"/>
      <c r="J3" s="13"/>
      <c r="K3" s="14"/>
      <c r="L3" s="14"/>
      <c r="O3" s="12"/>
      <c r="P3" s="13"/>
      <c r="Q3" s="14"/>
      <c r="R3" s="14"/>
      <c r="U3" s="15"/>
      <c r="V3" s="15"/>
      <c r="W3" s="14"/>
    </row>
    <row r="4" spans="1:23" x14ac:dyDescent="0.3">
      <c r="H4" s="19" t="s">
        <v>2</v>
      </c>
      <c r="I4" s="20"/>
      <c r="J4" s="20"/>
      <c r="K4" s="21"/>
      <c r="L4" s="4" t="s">
        <v>170</v>
      </c>
    </row>
    <row r="5" spans="1:23" ht="24" x14ac:dyDescent="0.3">
      <c r="N5" s="28" t="s">
        <v>176</v>
      </c>
      <c r="O5" s="29"/>
      <c r="P5" s="8" t="str">
        <f>'Working sheet'!R23</f>
        <v>Happiness Score</v>
      </c>
      <c r="Q5" s="8" t="str">
        <f>'Working sheet'!S23</f>
        <v>GDP</v>
      </c>
      <c r="R5" s="8" t="str">
        <f>'Working sheet'!T23</f>
        <v>Social Support</v>
      </c>
      <c r="S5" s="9" t="str">
        <f>'Working sheet'!U23</f>
        <v>Life Expectancy</v>
      </c>
      <c r="T5" s="8" t="str">
        <f>'Working sheet'!V23</f>
        <v>Freedom</v>
      </c>
      <c r="U5" s="8" t="str">
        <f>'Working sheet'!W23</f>
        <v>Generosity</v>
      </c>
      <c r="V5" s="9" t="str">
        <f>'Working sheet'!X23</f>
        <v>Corruption</v>
      </c>
    </row>
    <row r="6" spans="1:23" ht="30" customHeight="1" x14ac:dyDescent="0.3">
      <c r="N6" s="16" t="str">
        <f>'Working sheet'!Q24</f>
        <v>Happiness Score</v>
      </c>
      <c r="O6" s="17"/>
      <c r="P6" s="7">
        <f>'Working sheet'!R24</f>
        <v>1.0000000000000002</v>
      </c>
      <c r="Q6" s="7">
        <f>'Working sheet'!S24</f>
        <v>0.79388286787812778</v>
      </c>
      <c r="R6" s="7">
        <f>'Working sheet'!T24</f>
        <v>0.77705778806386427</v>
      </c>
      <c r="S6" s="7">
        <f>'Working sheet'!U24</f>
        <v>0.7798831492425824</v>
      </c>
      <c r="T6" s="7">
        <f>'Working sheet'!V24</f>
        <v>0.56674182571998988</v>
      </c>
      <c r="U6" s="7">
        <f>'Working sheet'!W24</f>
        <v>7.5823694903896552E-2</v>
      </c>
      <c r="V6" s="7">
        <f>'Working sheet'!X24</f>
        <v>0.3856130708664785</v>
      </c>
    </row>
    <row r="7" spans="1:23" ht="30" customHeight="1" x14ac:dyDescent="0.3">
      <c r="N7" s="16" t="str">
        <f>'Working sheet'!Q25</f>
        <v>GDP</v>
      </c>
      <c r="O7" s="17"/>
      <c r="P7" s="7">
        <f>'Working sheet'!R25</f>
        <v>0.79388286787812778</v>
      </c>
      <c r="Q7" s="7">
        <f>'Working sheet'!S25</f>
        <v>1</v>
      </c>
      <c r="R7" s="7">
        <f>'Working sheet'!T25</f>
        <v>0.75490572724545668</v>
      </c>
      <c r="S7" s="7">
        <f>'Working sheet'!U25</f>
        <v>0.83546211504160706</v>
      </c>
      <c r="T7" s="7">
        <f>'Working sheet'!V25</f>
        <v>0.37907907217677161</v>
      </c>
      <c r="U7" s="7">
        <f>'Working sheet'!W25</f>
        <v>-7.9662313489763936E-2</v>
      </c>
      <c r="V7" s="7">
        <f>'Working sheet'!X25</f>
        <v>0.29891984568349272</v>
      </c>
    </row>
    <row r="8" spans="1:23" ht="30" customHeight="1" x14ac:dyDescent="0.3">
      <c r="N8" s="16" t="str">
        <f>'Working sheet'!Q26</f>
        <v>Social Support</v>
      </c>
      <c r="O8" s="17"/>
      <c r="P8" s="7">
        <f>'Working sheet'!R26</f>
        <v>0.77705778806386427</v>
      </c>
      <c r="Q8" s="7">
        <f>'Working sheet'!S26</f>
        <v>0.75490572724545668</v>
      </c>
      <c r="R8" s="7">
        <f>'Working sheet'!T26</f>
        <v>0.99999999999999989</v>
      </c>
      <c r="S8" s="7">
        <f>'Working sheet'!U26</f>
        <v>0.71900945903085567</v>
      </c>
      <c r="T8" s="7">
        <f>'Working sheet'!V26</f>
        <v>0.44733316358770209</v>
      </c>
      <c r="U8" s="7">
        <f>'Working sheet'!W26</f>
        <v>-4.8126454454326499E-2</v>
      </c>
      <c r="V8" s="7">
        <f>'Working sheet'!X26</f>
        <v>0.18189946470087073</v>
      </c>
    </row>
    <row r="9" spans="1:23" ht="30" customHeight="1" x14ac:dyDescent="0.3">
      <c r="N9" s="16" t="str">
        <f>'Working sheet'!Q27</f>
        <v>Life Expectancy</v>
      </c>
      <c r="O9" s="17"/>
      <c r="P9" s="7">
        <f>'Working sheet'!R27</f>
        <v>0.7798831492425824</v>
      </c>
      <c r="Q9" s="7">
        <f>'Working sheet'!S27</f>
        <v>0.83546211504160706</v>
      </c>
      <c r="R9" s="7">
        <f>'Working sheet'!T27</f>
        <v>0.71900945903085567</v>
      </c>
      <c r="S9" s="7">
        <f>'Working sheet'!U27</f>
        <v>0.99999999999999989</v>
      </c>
      <c r="T9" s="7">
        <f>'Working sheet'!V27</f>
        <v>0.39039477647695736</v>
      </c>
      <c r="U9" s="7">
        <f>'Working sheet'!W27</f>
        <v>-2.9510859651602158E-2</v>
      </c>
      <c r="V9" s="7">
        <f>'Working sheet'!X27</f>
        <v>0.29528281242267906</v>
      </c>
    </row>
    <row r="10" spans="1:23" ht="30" customHeight="1" x14ac:dyDescent="0.3">
      <c r="N10" s="16" t="str">
        <f>'Working sheet'!Q28</f>
        <v>Freedom</v>
      </c>
      <c r="O10" s="17"/>
      <c r="P10" s="7">
        <f>'Working sheet'!R28</f>
        <v>0.56674182571998988</v>
      </c>
      <c r="Q10" s="7">
        <f>'Working sheet'!S28</f>
        <v>0.37907907217677161</v>
      </c>
      <c r="R10" s="7">
        <f>'Working sheet'!T28</f>
        <v>0.44733316358770209</v>
      </c>
      <c r="S10" s="7">
        <f>'Working sheet'!U28</f>
        <v>0.39039477647695736</v>
      </c>
      <c r="T10" s="7">
        <f>'Working sheet'!V28</f>
        <v>0.99999999999999978</v>
      </c>
      <c r="U10" s="7">
        <f>'Working sheet'!W28</f>
        <v>0.26974181407654368</v>
      </c>
      <c r="V10" s="7">
        <f>'Working sheet'!X28</f>
        <v>0.43884330641506725</v>
      </c>
    </row>
    <row r="11" spans="1:23" ht="30" customHeight="1" x14ac:dyDescent="0.3">
      <c r="N11" s="16" t="str">
        <f>'Working sheet'!Q29</f>
        <v>Generosity</v>
      </c>
      <c r="O11" s="17"/>
      <c r="P11" s="7">
        <f>'Working sheet'!R29</f>
        <v>7.5823694903896552E-2</v>
      </c>
      <c r="Q11" s="7">
        <f>'Working sheet'!S29</f>
        <v>-7.9662313489763936E-2</v>
      </c>
      <c r="R11" s="7">
        <f>'Working sheet'!T29</f>
        <v>-4.8126454454326499E-2</v>
      </c>
      <c r="S11" s="7">
        <f>'Working sheet'!U29</f>
        <v>-2.9510859651602158E-2</v>
      </c>
      <c r="T11" s="7">
        <f>'Working sheet'!V29</f>
        <v>0.26974181407654368</v>
      </c>
      <c r="U11" s="7">
        <f>'Working sheet'!W29</f>
        <v>1.0000000000000002</v>
      </c>
      <c r="V11" s="7">
        <f>'Working sheet'!X29</f>
        <v>0.32653754340500746</v>
      </c>
    </row>
    <row r="12" spans="1:23" ht="30" customHeight="1" x14ac:dyDescent="0.3">
      <c r="N12" s="16" t="str">
        <f>'Working sheet'!Q30</f>
        <v>Corruption</v>
      </c>
      <c r="O12" s="17"/>
      <c r="P12" s="7">
        <f>'Working sheet'!R30</f>
        <v>0.3856130708664785</v>
      </c>
      <c r="Q12" s="7">
        <f>'Working sheet'!S30</f>
        <v>0.29891984568349272</v>
      </c>
      <c r="R12" s="7">
        <f>'Working sheet'!T30</f>
        <v>0.18189946470087073</v>
      </c>
      <c r="S12" s="7">
        <f>'Working sheet'!U30</f>
        <v>0.29528281242267906</v>
      </c>
      <c r="T12" s="7">
        <f>'Working sheet'!V30</f>
        <v>0.43884330641506725</v>
      </c>
      <c r="U12" s="7">
        <f>'Working sheet'!W30</f>
        <v>0.32653754340500746</v>
      </c>
      <c r="V12" s="7">
        <f>'Working sheet'!X30</f>
        <v>1.0000000000000002</v>
      </c>
    </row>
    <row r="21" ht="14.4" customHeight="1" x14ac:dyDescent="0.3"/>
    <row r="22" ht="14.4" customHeight="1" x14ac:dyDescent="0.3"/>
    <row r="23" ht="14.4" customHeight="1" x14ac:dyDescent="0.3"/>
    <row r="24" ht="14.4" customHeight="1" x14ac:dyDescent="0.3"/>
    <row r="25" ht="14.4" customHeight="1" x14ac:dyDescent="0.3"/>
    <row r="26" ht="30" customHeight="1" x14ac:dyDescent="0.3"/>
    <row r="27" ht="30" customHeight="1" x14ac:dyDescent="0.3"/>
    <row r="28" ht="30" customHeight="1" x14ac:dyDescent="0.3"/>
    <row r="29" ht="30" customHeight="1" x14ac:dyDescent="0.3"/>
    <row r="30" ht="30" customHeight="1" x14ac:dyDescent="0.3"/>
    <row r="31" ht="30" customHeight="1" x14ac:dyDescent="0.3"/>
    <row r="32" ht="30" customHeight="1" x14ac:dyDescent="0.3"/>
    <row r="33" ht="30" customHeight="1" x14ac:dyDescent="0.3"/>
  </sheetData>
  <mergeCells count="14">
    <mergeCell ref="N12:O12"/>
    <mergeCell ref="A1:W1"/>
    <mergeCell ref="H4:K4"/>
    <mergeCell ref="G2:J2"/>
    <mergeCell ref="S2:V2"/>
    <mergeCell ref="N6:O6"/>
    <mergeCell ref="N7:O7"/>
    <mergeCell ref="N8:O8"/>
    <mergeCell ref="N9:O9"/>
    <mergeCell ref="N10:O10"/>
    <mergeCell ref="N11:O11"/>
    <mergeCell ref="N5:O5"/>
    <mergeCell ref="A2:D2"/>
    <mergeCell ref="M2:P2"/>
  </mergeCells>
  <conditionalFormatting sqref="P6:V12">
    <cfRule type="colorScale" priority="1">
      <colorScale>
        <cfvo type="min"/>
        <cfvo type="max"/>
        <color theme="0"/>
        <color theme="3" tint="0.249977111117893"/>
      </colorScale>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0852BF4-C2E5-412F-8352-20C514A985F9}">
          <x14:formula1>
            <xm:f>'Working sheet'!$D$1:$I$1</xm:f>
          </x14:formula1>
          <xm:sqref>H4</xm:sqref>
        </x14:dataValidation>
      </x14:dataValidation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Working 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erum khan</dc:creator>
  <cp:lastModifiedBy>erum khan</cp:lastModifiedBy>
  <dcterms:created xsi:type="dcterms:W3CDTF">2026-04-28T07:20:59Z</dcterms:created>
  <dcterms:modified xsi:type="dcterms:W3CDTF">2026-04-29T11:21:56Z</dcterms:modified>
</cp:coreProperties>
</file>